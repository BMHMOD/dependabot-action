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codeName="ThisWorkbook" defaultThemeVersion="124226"/>
  <xr:revisionPtr revIDLastSave="0" documentId="13_ncr:1_{B67E792B-E2C2-40FE-89E9-EAC02C79133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ساحات داخلية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4" i="1" l="1"/>
  <c r="H13" i="1"/>
  <c r="H38" i="1" l="1"/>
  <c r="O17" i="1" l="1"/>
  <c r="O5" i="1" l="1"/>
  <c r="P5" i="1"/>
  <c r="H34" i="1"/>
  <c r="P17" i="1" l="1"/>
  <c r="P15" i="1" l="1"/>
  <c r="O15" i="1"/>
  <c r="P11" i="1"/>
  <c r="P9" i="1"/>
  <c r="O9" i="1"/>
  <c r="H45" i="1" l="1"/>
  <c r="P7" i="1" l="1"/>
  <c r="P13" i="1"/>
  <c r="H39" i="1"/>
  <c r="H37" i="1"/>
  <c r="H47" i="1"/>
  <c r="H46" i="1"/>
  <c r="H44" i="1"/>
  <c r="H43" i="1"/>
  <c r="H42" i="1"/>
  <c r="H41" i="1"/>
  <c r="H40" i="1"/>
  <c r="H36" i="1"/>
  <c r="H35" i="1"/>
  <c r="H33" i="1"/>
  <c r="H32" i="1"/>
  <c r="H31" i="1"/>
  <c r="H30" i="1"/>
  <c r="H29" i="1"/>
  <c r="H28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2" i="1"/>
  <c r="H11" i="1"/>
  <c r="H10" i="1"/>
  <c r="H9" i="1"/>
  <c r="H8" i="1"/>
  <c r="H7" i="1"/>
  <c r="H6" i="1"/>
  <c r="I34" i="1" l="1"/>
  <c r="I44" i="1"/>
  <c r="Q17" i="1"/>
  <c r="K34" i="1" l="1"/>
  <c r="L34" i="1" s="1"/>
  <c r="O13" i="1"/>
  <c r="O7" i="1"/>
  <c r="O11" i="1" l="1"/>
  <c r="Q11" i="1" s="1"/>
  <c r="H27" i="1"/>
  <c r="I24" i="1" s="1"/>
  <c r="K24" i="1" s="1"/>
  <c r="L24" i="1" s="1"/>
  <c r="P21" i="1"/>
  <c r="I21" i="1"/>
  <c r="K21" i="1" s="1"/>
  <c r="L21" i="1" s="1"/>
  <c r="I18" i="1"/>
  <c r="K18" i="1" s="1"/>
  <c r="L18" i="1" s="1"/>
  <c r="I41" i="1"/>
  <c r="K41" i="1" s="1"/>
  <c r="L41" i="1" s="1"/>
  <c r="I29" i="1"/>
  <c r="K29" i="1" s="1"/>
  <c r="L29" i="1" s="1"/>
  <c r="I15" i="1"/>
  <c r="K15" i="1" s="1"/>
  <c r="L15" i="1" s="1"/>
  <c r="I12" i="1"/>
  <c r="K12" i="1" s="1"/>
  <c r="L12" i="1" s="1"/>
  <c r="I9" i="1"/>
  <c r="K9" i="1" s="1"/>
  <c r="L9" i="1" s="1"/>
  <c r="I6" i="1"/>
  <c r="K6" i="1" l="1"/>
  <c r="L6" i="1" s="1"/>
  <c r="O21" i="1"/>
  <c r="Q21" i="1" s="1"/>
  <c r="P25" i="1" s="1"/>
  <c r="Q25" i="1" s="1"/>
  <c r="Q7" i="1"/>
  <c r="Q13" i="1"/>
  <c r="Q15" i="1"/>
  <c r="O37" i="1" s="1"/>
  <c r="P37" i="1" s="1"/>
  <c r="Q9" i="1"/>
  <c r="Q5" i="1"/>
  <c r="O32" i="1" l="1"/>
  <c r="O35" i="1"/>
  <c r="P35" i="1" s="1"/>
  <c r="P32" i="1" l="1"/>
  <c r="O40" i="1"/>
  <c r="P40" i="1" l="1"/>
  <c r="P42" i="1" s="1"/>
  <c r="P43" i="1" s="1"/>
  <c r="O42" i="1"/>
  <c r="O43" i="1" s="1"/>
</calcChain>
</file>

<file path=xl/sharedStrings.xml><?xml version="1.0" encoding="utf-8"?>
<sst xmlns="http://schemas.openxmlformats.org/spreadsheetml/2006/main" count="130" uniqueCount="73">
  <si>
    <t>import</t>
  </si>
  <si>
    <t>export</t>
  </si>
  <si>
    <t>transshipment</t>
  </si>
  <si>
    <t>block</t>
  </si>
  <si>
    <t>mode</t>
  </si>
  <si>
    <t>A</t>
  </si>
  <si>
    <t>B</t>
  </si>
  <si>
    <t>C</t>
  </si>
  <si>
    <t>D</t>
  </si>
  <si>
    <t>E</t>
  </si>
  <si>
    <t>F</t>
  </si>
  <si>
    <t>export REF</t>
  </si>
  <si>
    <t>import REF</t>
  </si>
  <si>
    <t>H</t>
  </si>
  <si>
    <t>S003</t>
  </si>
  <si>
    <t>S03</t>
  </si>
  <si>
    <t>S666</t>
  </si>
  <si>
    <t>S002</t>
  </si>
  <si>
    <t>M</t>
  </si>
  <si>
    <t>TOTAL TRANS. CONT.</t>
  </si>
  <si>
    <t>TOTAL IMP. CONT.</t>
  </si>
  <si>
    <t>TOTAL EMP. CONT.</t>
  </si>
  <si>
    <t>TOTAL IMP.REF CONT.</t>
  </si>
  <si>
    <t>TOTAL REF IMP+EXP</t>
  </si>
  <si>
    <t>REFEER</t>
  </si>
  <si>
    <t>Mode</t>
  </si>
  <si>
    <t>TOTAL EXP.REF CONT.</t>
  </si>
  <si>
    <t>TOTAL EXP. CONT.</t>
  </si>
  <si>
    <t xml:space="preserve">TOTAL IMPORT </t>
  </si>
  <si>
    <t>TOTAL EXPORT</t>
  </si>
  <si>
    <t>TOTAL REFEER</t>
  </si>
  <si>
    <t>TOTAL</t>
  </si>
  <si>
    <t>capacity</t>
  </si>
  <si>
    <t>empty</t>
  </si>
  <si>
    <t>slots</t>
  </si>
  <si>
    <t>TOTAL EMPTY</t>
  </si>
  <si>
    <t>OCCUPIED CAPACITY</t>
  </si>
  <si>
    <t>occ.</t>
  </si>
  <si>
    <t>BLOCK</t>
  </si>
  <si>
    <t>CAPACITY</t>
  </si>
  <si>
    <t>OCC</t>
  </si>
  <si>
    <t>SLOTS</t>
  </si>
  <si>
    <t>EMPTY</t>
  </si>
  <si>
    <t>Roro5</t>
  </si>
  <si>
    <t>S900</t>
  </si>
  <si>
    <t>stacked units</t>
  </si>
  <si>
    <t>expected for</t>
  </si>
  <si>
    <t>remarshaling</t>
  </si>
  <si>
    <t>TOTAL CAPACITY</t>
  </si>
  <si>
    <t>TOTAL EXPECTED REMARSHALING</t>
  </si>
  <si>
    <t>Roro1</t>
  </si>
  <si>
    <t>s700</t>
  </si>
  <si>
    <t>import dangerous</t>
  </si>
  <si>
    <t>TOTAL OCCUPIED TEU</t>
  </si>
  <si>
    <t>TOTAL FREE TEU</t>
  </si>
  <si>
    <t>MAX TEU</t>
  </si>
  <si>
    <t>TEU</t>
  </si>
  <si>
    <t>internal capacity</t>
  </si>
  <si>
    <t>Yard Capacity Statistics   DD/MM/YYY</t>
  </si>
  <si>
    <t>INSP+Y777</t>
  </si>
  <si>
    <t>S444</t>
  </si>
  <si>
    <t>S068</t>
  </si>
  <si>
    <t>S032</t>
  </si>
  <si>
    <t>S036</t>
  </si>
  <si>
    <t>S022</t>
  </si>
  <si>
    <t>ساحة التجارية</t>
  </si>
  <si>
    <t>ساحة المفروزة</t>
  </si>
  <si>
    <t>ساحة 68</t>
  </si>
  <si>
    <t>ساحة 32</t>
  </si>
  <si>
    <t>ساحة 36</t>
  </si>
  <si>
    <t>ساحة 22</t>
  </si>
  <si>
    <t>Block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</si>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</sst>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family val="2"/>
      <scheme val="minor"/>
    </font>
    <font>
      <b/>
      <sz val="28"/>
      <name val="Arial"/>
      <family val="2"/>
      <scheme val="minor"/>
    </font>
    <font>
      <b/>
      <sz val="66"/>
      <name val="Arial"/>
      <family val="2"/>
      <scheme val="minor"/>
    </font>
    <font>
      <b/>
      <sz val="20"/>
      <name val="Arial"/>
      <family val="2"/>
      <scheme val="minor"/>
    </font>
    <font>
      <b/>
      <sz val="22"/>
      <name val="Arial"/>
      <family val="2"/>
      <scheme val="minor"/>
    </font>
    <font>
      <b/>
      <sz val="48"/>
      <name val="Arial"/>
      <family val="2"/>
      <scheme val="minor"/>
    </font>
    <font>
      <sz val="8"/>
      <name val="Arial"/>
      <family val="2"/>
      <scheme val="minor"/>
    </font>
    <font>
      <b/>
      <sz val="20"/>
      <color theme="1"/>
      <name val="Arial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9E3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6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449">
    <xf numFmtId="0" fontId="0" fillId="0" borderId="0" xfId="0"/>
    <xf numFmtId="0" fontId="3" fillId="0" borderId="0" xfId="0" applyFont="1" applyAlignment="1">
      <alignment horizontal="center" vertical="center"/>
    </xf>
    <xf numFmtId="0" fontId="3" fillId="2" borderId="34" xfId="0" applyFont="1" applyFill="1" applyBorder="1" applyAlignment="1">
      <alignment vertical="center"/>
    </xf>
    <xf numFmtId="0" fontId="3" fillId="2" borderId="42" xfId="0" applyFont="1" applyFill="1" applyBorder="1" applyAlignment="1">
      <alignment vertical="center"/>
    </xf>
    <xf numFmtId="0" fontId="3" fillId="2" borderId="36" xfId="0" applyFont="1" applyFill="1" applyBorder="1" applyAlignment="1">
      <alignment vertical="center"/>
    </xf>
    <xf numFmtId="0" fontId="3" fillId="14" borderId="1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  <xf numFmtId="0" fontId="3" fillId="14" borderId="36" xfId="0" applyFont="1" applyFill="1" applyBorder="1" applyAlignment="1">
      <alignment horizontal="center" vertical="center"/>
    </xf>
    <xf numFmtId="0" fontId="3" fillId="14" borderId="20" xfId="0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16" borderId="43" xfId="0" applyFont="1" applyFill="1" applyBorder="1" applyAlignment="1">
      <alignment horizontal="center" vertical="center"/>
    </xf>
    <xf numFmtId="0" fontId="3" fillId="16" borderId="44" xfId="0" applyFont="1" applyFill="1" applyBorder="1" applyAlignment="1">
      <alignment horizontal="center" vertical="center"/>
    </xf>
    <xf numFmtId="0" fontId="3" fillId="16" borderId="45" xfId="0" applyFont="1" applyFill="1" applyBorder="1" applyAlignment="1">
      <alignment horizontal="center" vertical="center"/>
    </xf>
    <xf numFmtId="0" fontId="3" fillId="14" borderId="55" xfId="0" applyFont="1" applyFill="1" applyBorder="1" applyAlignment="1">
      <alignment horizontal="center" vertical="center"/>
    </xf>
    <xf numFmtId="0" fontId="3" fillId="14" borderId="7" xfId="0" applyFont="1" applyFill="1" applyBorder="1" applyAlignment="1">
      <alignment horizontal="center" vertical="center"/>
    </xf>
    <xf numFmtId="0" fontId="3" fillId="14" borderId="35" xfId="0" applyFont="1" applyFill="1" applyBorder="1" applyAlignment="1">
      <alignment horizontal="center" vertical="center"/>
    </xf>
    <xf numFmtId="0" fontId="3" fillId="14" borderId="21" xfId="0" applyFont="1" applyFill="1" applyBorder="1" applyAlignment="1">
      <alignment horizontal="center" vertical="center"/>
    </xf>
    <xf numFmtId="0" fontId="3" fillId="11" borderId="12" xfId="0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3" fillId="11" borderId="30" xfId="0" applyFont="1" applyFill="1" applyBorder="1" applyAlignment="1">
      <alignment horizontal="center" vertical="center"/>
    </xf>
    <xf numFmtId="0" fontId="3" fillId="11" borderId="22" xfId="0" applyFont="1" applyFill="1" applyBorder="1" applyAlignment="1">
      <alignment horizontal="center" vertical="center"/>
    </xf>
    <xf numFmtId="0" fontId="3" fillId="11" borderId="57" xfId="0" applyFont="1" applyFill="1" applyBorder="1" applyAlignment="1">
      <alignment horizontal="center" vertical="center"/>
    </xf>
    <xf numFmtId="0" fontId="3" fillId="11" borderId="10" xfId="0" applyFont="1" applyFill="1" applyBorder="1" applyAlignment="1">
      <alignment horizontal="left" vertical="center"/>
    </xf>
    <xf numFmtId="0" fontId="3" fillId="11" borderId="3" xfId="0" applyFont="1" applyFill="1" applyBorder="1" applyAlignment="1">
      <alignment horizontal="center" vertical="center"/>
    </xf>
    <xf numFmtId="0" fontId="3" fillId="11" borderId="4" xfId="0" applyFont="1" applyFill="1" applyBorder="1" applyAlignment="1">
      <alignment horizontal="center" vertical="center"/>
    </xf>
    <xf numFmtId="0" fontId="3" fillId="11" borderId="28" xfId="0" applyFont="1" applyFill="1" applyBorder="1" applyAlignment="1">
      <alignment horizontal="center" vertical="center"/>
    </xf>
    <xf numFmtId="0" fontId="3" fillId="11" borderId="23" xfId="0" applyFont="1" applyFill="1" applyBorder="1" applyAlignment="1">
      <alignment horizontal="center" vertical="center"/>
    </xf>
    <xf numFmtId="0" fontId="3" fillId="11" borderId="51" xfId="0" applyFont="1" applyFill="1" applyBorder="1" applyAlignment="1">
      <alignment horizontal="center" vertical="center"/>
    </xf>
    <xf numFmtId="0" fontId="3" fillId="11" borderId="13" xfId="0" applyFont="1" applyFill="1" applyBorder="1" applyAlignment="1">
      <alignment horizontal="left" vertical="center"/>
    </xf>
    <xf numFmtId="0" fontId="3" fillId="11" borderId="5" xfId="0" applyFont="1" applyFill="1" applyBorder="1" applyAlignment="1">
      <alignment horizontal="center" vertical="center"/>
    </xf>
    <xf numFmtId="0" fontId="3" fillId="11" borderId="6" xfId="0" applyFont="1" applyFill="1" applyBorder="1" applyAlignment="1">
      <alignment horizontal="center" vertical="center"/>
    </xf>
    <xf numFmtId="0" fontId="3" fillId="11" borderId="31" xfId="0" applyFont="1" applyFill="1" applyBorder="1" applyAlignment="1">
      <alignment horizontal="center" vertical="center"/>
    </xf>
    <xf numFmtId="0" fontId="3" fillId="11" borderId="24" xfId="0" applyFont="1" applyFill="1" applyBorder="1" applyAlignment="1">
      <alignment horizontal="center" vertical="center"/>
    </xf>
    <xf numFmtId="0" fontId="3" fillId="11" borderId="58" xfId="0" applyFont="1" applyFill="1" applyBorder="1" applyAlignment="1">
      <alignment horizontal="center" vertical="center"/>
    </xf>
    <xf numFmtId="0" fontId="3" fillId="8" borderId="8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/>
    </xf>
    <xf numFmtId="0" fontId="3" fillId="8" borderId="32" xfId="0" applyFont="1" applyFill="1" applyBorder="1" applyAlignment="1">
      <alignment horizontal="center" vertical="center"/>
    </xf>
    <xf numFmtId="0" fontId="3" fillId="8" borderId="25" xfId="0" applyFont="1" applyFill="1" applyBorder="1" applyAlignment="1">
      <alignment horizontal="center" vertical="center"/>
    </xf>
    <xf numFmtId="0" fontId="3" fillId="11" borderId="52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3" fillId="8" borderId="28" xfId="0" applyFont="1" applyFill="1" applyBorder="1" applyAlignment="1">
      <alignment horizontal="center" vertical="center"/>
    </xf>
    <xf numFmtId="0" fontId="3" fillId="8" borderId="23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left" vertical="center"/>
    </xf>
    <xf numFmtId="0" fontId="3" fillId="8" borderId="5" xfId="0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3" fillId="8" borderId="31" xfId="0" applyFont="1" applyFill="1" applyBorder="1" applyAlignment="1">
      <alignment horizontal="center" vertical="center"/>
    </xf>
    <xf numFmtId="0" fontId="3" fillId="8" borderId="24" xfId="0" applyFont="1" applyFill="1" applyBorder="1" applyAlignment="1">
      <alignment horizontal="center" vertical="center"/>
    </xf>
    <xf numFmtId="0" fontId="3" fillId="9" borderId="14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0" fontId="3" fillId="9" borderId="32" xfId="0" applyFont="1" applyFill="1" applyBorder="1" applyAlignment="1">
      <alignment horizontal="center" vertical="center"/>
    </xf>
    <xf numFmtId="0" fontId="3" fillId="9" borderId="25" xfId="0" applyFont="1" applyFill="1" applyBorder="1" applyAlignment="1">
      <alignment horizontal="center" vertical="center"/>
    </xf>
    <xf numFmtId="0" fontId="3" fillId="9" borderId="52" xfId="0" applyFont="1" applyFill="1" applyBorder="1" applyAlignment="1">
      <alignment horizontal="center" vertical="center"/>
    </xf>
    <xf numFmtId="0" fontId="3" fillId="9" borderId="10" xfId="0" applyFont="1" applyFill="1" applyBorder="1" applyAlignment="1">
      <alignment horizontal="left" vertical="center"/>
    </xf>
    <xf numFmtId="0" fontId="3" fillId="9" borderId="3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3" fillId="9" borderId="28" xfId="0" applyFont="1" applyFill="1" applyBorder="1" applyAlignment="1">
      <alignment horizontal="center" vertical="center"/>
    </xf>
    <xf numFmtId="0" fontId="3" fillId="9" borderId="23" xfId="0" applyFont="1" applyFill="1" applyBorder="1" applyAlignment="1">
      <alignment horizontal="center" vertical="center"/>
    </xf>
    <xf numFmtId="0" fontId="3" fillId="9" borderId="13" xfId="0" applyFont="1" applyFill="1" applyBorder="1" applyAlignment="1">
      <alignment horizontal="left" vertical="center"/>
    </xf>
    <xf numFmtId="0" fontId="3" fillId="9" borderId="5" xfId="0" applyFont="1" applyFill="1" applyBorder="1" applyAlignment="1">
      <alignment horizontal="center" vertical="center"/>
    </xf>
    <xf numFmtId="0" fontId="3" fillId="9" borderId="6" xfId="0" applyFont="1" applyFill="1" applyBorder="1" applyAlignment="1">
      <alignment horizontal="center" vertical="center"/>
    </xf>
    <xf numFmtId="0" fontId="3" fillId="9" borderId="31" xfId="0" applyFont="1" applyFill="1" applyBorder="1" applyAlignment="1">
      <alignment horizontal="center" vertical="center"/>
    </xf>
    <xf numFmtId="0" fontId="3" fillId="9" borderId="24" xfId="0" applyFont="1" applyFill="1" applyBorder="1" applyAlignment="1">
      <alignment horizontal="center" vertical="center"/>
    </xf>
    <xf numFmtId="0" fontId="3" fillId="9" borderId="58" xfId="0" applyFont="1" applyFill="1" applyBorder="1" applyAlignment="1">
      <alignment horizontal="center" vertical="center"/>
    </xf>
    <xf numFmtId="0" fontId="3" fillId="13" borderId="14" xfId="0" applyFont="1" applyFill="1" applyBorder="1" applyAlignment="1">
      <alignment horizontal="left" vertical="center"/>
    </xf>
    <xf numFmtId="0" fontId="3" fillId="13" borderId="19" xfId="0" applyFont="1" applyFill="1" applyBorder="1" applyAlignment="1">
      <alignment horizontal="center" vertical="center"/>
    </xf>
    <xf numFmtId="0" fontId="3" fillId="13" borderId="32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3" borderId="30" xfId="0" applyFont="1" applyFill="1" applyBorder="1" applyAlignment="1">
      <alignment horizontal="center" vertical="center"/>
    </xf>
    <xf numFmtId="0" fontId="3" fillId="13" borderId="25" xfId="0" applyFont="1" applyFill="1" applyBorder="1" applyAlignment="1">
      <alignment horizontal="center" vertical="center"/>
    </xf>
    <xf numFmtId="0" fontId="3" fillId="13" borderId="52" xfId="0" applyFont="1" applyFill="1" applyBorder="1" applyAlignment="1">
      <alignment horizontal="center" vertical="center"/>
    </xf>
    <xf numFmtId="0" fontId="3" fillId="13" borderId="10" xfId="0" applyFont="1" applyFill="1" applyBorder="1" applyAlignment="1">
      <alignment horizontal="left" vertical="center"/>
    </xf>
    <xf numFmtId="0" fontId="3" fillId="13" borderId="15" xfId="0" applyFont="1" applyFill="1" applyBorder="1" applyAlignment="1">
      <alignment horizontal="center" vertical="center"/>
    </xf>
    <xf numFmtId="0" fontId="3" fillId="13" borderId="28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/>
    </xf>
    <xf numFmtId="0" fontId="3" fillId="13" borderId="23" xfId="0" applyFont="1" applyFill="1" applyBorder="1" applyAlignment="1">
      <alignment horizontal="center" vertical="center"/>
    </xf>
    <xf numFmtId="0" fontId="3" fillId="13" borderId="51" xfId="0" applyFont="1" applyFill="1" applyBorder="1" applyAlignment="1">
      <alignment horizontal="center" vertical="center"/>
    </xf>
    <xf numFmtId="0" fontId="3" fillId="13" borderId="13" xfId="0" applyFont="1" applyFill="1" applyBorder="1" applyAlignment="1">
      <alignment horizontal="left" vertical="center"/>
    </xf>
    <xf numFmtId="0" fontId="3" fillId="13" borderId="18" xfId="0" applyFont="1" applyFill="1" applyBorder="1" applyAlignment="1">
      <alignment horizontal="center" vertical="center"/>
    </xf>
    <xf numFmtId="0" fontId="3" fillId="13" borderId="31" xfId="0" applyFont="1" applyFill="1" applyBorder="1" applyAlignment="1">
      <alignment horizontal="center" vertical="center"/>
    </xf>
    <xf numFmtId="0" fontId="3" fillId="13" borderId="5" xfId="0" applyFont="1" applyFill="1" applyBorder="1" applyAlignment="1">
      <alignment horizontal="center" vertical="center"/>
    </xf>
    <xf numFmtId="0" fontId="3" fillId="13" borderId="26" xfId="0" applyFont="1" applyFill="1" applyBorder="1" applyAlignment="1">
      <alignment horizontal="center" vertical="center"/>
    </xf>
    <xf numFmtId="0" fontId="3" fillId="13" borderId="53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vertical="center"/>
    </xf>
    <xf numFmtId="0" fontId="3" fillId="7" borderId="14" xfId="0" applyFont="1" applyFill="1" applyBorder="1" applyAlignment="1">
      <alignment horizontal="left" vertical="center"/>
    </xf>
    <xf numFmtId="0" fontId="3" fillId="7" borderId="14" xfId="0" applyFont="1" applyFill="1" applyBorder="1" applyAlignment="1">
      <alignment horizontal="center" vertical="center"/>
    </xf>
    <xf numFmtId="0" fontId="3" fillId="7" borderId="9" xfId="0" applyFont="1" applyFill="1" applyBorder="1" applyAlignment="1">
      <alignment horizontal="center" vertical="center"/>
    </xf>
    <xf numFmtId="0" fontId="3" fillId="7" borderId="19" xfId="0" applyFont="1" applyFill="1" applyBorder="1" applyAlignment="1">
      <alignment horizontal="center" vertical="center"/>
    </xf>
    <xf numFmtId="0" fontId="3" fillId="7" borderId="32" xfId="0" applyFont="1" applyFill="1" applyBorder="1" applyAlignment="1">
      <alignment horizontal="center" vertical="center"/>
    </xf>
    <xf numFmtId="0" fontId="3" fillId="7" borderId="22" xfId="0" applyFont="1" applyFill="1" applyBorder="1" applyAlignment="1">
      <alignment horizontal="center" vertical="center"/>
    </xf>
    <xf numFmtId="0" fontId="3" fillId="7" borderId="57" xfId="0" applyFont="1" applyFill="1" applyBorder="1" applyAlignment="1">
      <alignment horizontal="center" vertical="center"/>
    </xf>
    <xf numFmtId="0" fontId="3" fillId="7" borderId="10" xfId="0" applyFont="1" applyFill="1" applyBorder="1" applyAlignment="1">
      <alignment horizontal="left" vertical="center"/>
    </xf>
    <xf numFmtId="0" fontId="3" fillId="7" borderId="10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7" borderId="15" xfId="0" applyFont="1" applyFill="1" applyBorder="1" applyAlignment="1">
      <alignment horizontal="center" vertical="center"/>
    </xf>
    <xf numFmtId="0" fontId="3" fillId="7" borderId="28" xfId="0" applyFont="1" applyFill="1" applyBorder="1" applyAlignment="1">
      <alignment horizontal="center" vertical="center"/>
    </xf>
    <xf numFmtId="0" fontId="3" fillId="7" borderId="23" xfId="0" applyFont="1" applyFill="1" applyBorder="1" applyAlignment="1">
      <alignment horizontal="center" vertical="center"/>
    </xf>
    <xf numFmtId="0" fontId="3" fillId="7" borderId="5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7" borderId="24" xfId="0" applyFont="1" applyFill="1" applyBorder="1" applyAlignment="1">
      <alignment horizontal="center" vertical="center"/>
    </xf>
    <xf numFmtId="0" fontId="3" fillId="7" borderId="58" xfId="0" applyFont="1" applyFill="1" applyBorder="1" applyAlignment="1">
      <alignment horizontal="center" vertical="center"/>
    </xf>
    <xf numFmtId="0" fontId="3" fillId="8" borderId="48" xfId="0" applyFont="1" applyFill="1" applyBorder="1" applyAlignment="1">
      <alignment horizontal="center" vertical="center"/>
    </xf>
    <xf numFmtId="0" fontId="3" fillId="8" borderId="49" xfId="0" applyFont="1" applyFill="1" applyBorder="1" applyAlignment="1">
      <alignment horizontal="center" vertical="center"/>
    </xf>
    <xf numFmtId="0" fontId="3" fillId="8" borderId="50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left" vertical="center"/>
    </xf>
    <xf numFmtId="0" fontId="3" fillId="6" borderId="1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30" xfId="0" applyFont="1" applyFill="1" applyBorder="1" applyAlignment="1">
      <alignment horizontal="center" vertical="center"/>
    </xf>
    <xf numFmtId="0" fontId="3" fillId="6" borderId="25" xfId="0" applyFont="1" applyFill="1" applyBorder="1" applyAlignment="1">
      <alignment horizontal="center" vertical="center"/>
    </xf>
    <xf numFmtId="0" fontId="3" fillId="6" borderId="52" xfId="0" applyFont="1" applyFill="1" applyBorder="1" applyAlignment="1">
      <alignment horizontal="center" vertical="center"/>
    </xf>
    <xf numFmtId="0" fontId="3" fillId="8" borderId="54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left" vertical="center"/>
    </xf>
    <xf numFmtId="0" fontId="3" fillId="6" borderId="10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3" fillId="6" borderId="23" xfId="0" applyFont="1" applyFill="1" applyBorder="1" applyAlignment="1">
      <alignment horizontal="center" vertical="center"/>
    </xf>
    <xf numFmtId="0" fontId="3" fillId="6" borderId="51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31" xfId="0" applyFont="1" applyFill="1" applyBorder="1" applyAlignment="1">
      <alignment horizontal="center" vertical="center"/>
    </xf>
    <xf numFmtId="0" fontId="3" fillId="6" borderId="24" xfId="0" applyFont="1" applyFill="1" applyBorder="1" applyAlignment="1">
      <alignment horizontal="center" vertical="center"/>
    </xf>
    <xf numFmtId="0" fontId="3" fillId="6" borderId="58" xfId="0" applyFont="1" applyFill="1" applyBorder="1" applyAlignment="1">
      <alignment horizontal="center" vertical="center"/>
    </xf>
    <xf numFmtId="0" fontId="3" fillId="8" borderId="20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3" fillId="10" borderId="14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10" borderId="30" xfId="0" applyFont="1" applyFill="1" applyBorder="1" applyAlignment="1">
      <alignment horizontal="center" vertical="center"/>
    </xf>
    <xf numFmtId="0" fontId="3" fillId="10" borderId="25" xfId="0" applyFont="1" applyFill="1" applyBorder="1" applyAlignment="1">
      <alignment horizontal="center" vertical="center"/>
    </xf>
    <xf numFmtId="0" fontId="3" fillId="10" borderId="52" xfId="0" applyFont="1" applyFill="1" applyBorder="1" applyAlignment="1">
      <alignment horizontal="center" vertical="center"/>
    </xf>
    <xf numFmtId="0" fontId="3" fillId="8" borderId="27" xfId="0" applyFont="1" applyFill="1" applyBorder="1" applyAlignment="1">
      <alignment horizontal="center" vertical="center"/>
    </xf>
    <xf numFmtId="10" fontId="3" fillId="8" borderId="27" xfId="0" applyNumberFormat="1" applyFont="1" applyFill="1" applyBorder="1" applyAlignment="1">
      <alignment horizontal="center" vertical="center"/>
    </xf>
    <xf numFmtId="0" fontId="3" fillId="10" borderId="10" xfId="0" applyFont="1" applyFill="1" applyBorder="1" applyAlignment="1">
      <alignment horizontal="left" vertical="center"/>
    </xf>
    <xf numFmtId="0" fontId="3" fillId="10" borderId="3" xfId="0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center" vertical="center"/>
    </xf>
    <xf numFmtId="0" fontId="3" fillId="10" borderId="28" xfId="0" applyFont="1" applyFill="1" applyBorder="1" applyAlignment="1">
      <alignment horizontal="center" vertical="center"/>
    </xf>
    <xf numFmtId="0" fontId="4" fillId="8" borderId="54" xfId="0" applyFont="1" applyFill="1" applyBorder="1" applyAlignment="1">
      <alignment horizontal="center" vertical="center"/>
    </xf>
    <xf numFmtId="10" fontId="3" fillId="8" borderId="54" xfId="0" applyNumberFormat="1" applyFont="1" applyFill="1" applyBorder="1" applyAlignment="1">
      <alignment horizontal="center" vertical="center"/>
    </xf>
    <xf numFmtId="0" fontId="3" fillId="10" borderId="23" xfId="0" applyFont="1" applyFill="1" applyBorder="1" applyAlignment="1">
      <alignment horizontal="center" vertical="center"/>
    </xf>
    <xf numFmtId="0" fontId="3" fillId="10" borderId="51" xfId="0" applyFont="1" applyFill="1" applyBorder="1" applyAlignment="1">
      <alignment horizontal="center" vertical="center"/>
    </xf>
    <xf numFmtId="0" fontId="3" fillId="10" borderId="5" xfId="0" applyFont="1" applyFill="1" applyBorder="1" applyAlignment="1">
      <alignment horizontal="center" vertical="center"/>
    </xf>
    <xf numFmtId="0" fontId="3" fillId="10" borderId="6" xfId="0" applyFont="1" applyFill="1" applyBorder="1" applyAlignment="1">
      <alignment horizontal="center" vertical="center"/>
    </xf>
    <xf numFmtId="0" fontId="3" fillId="10" borderId="31" xfId="0" applyFont="1" applyFill="1" applyBorder="1" applyAlignment="1">
      <alignment horizontal="center" vertical="center"/>
    </xf>
    <xf numFmtId="0" fontId="3" fillId="10" borderId="26" xfId="0" applyFont="1" applyFill="1" applyBorder="1" applyAlignment="1">
      <alignment horizontal="center" vertical="center"/>
    </xf>
    <xf numFmtId="0" fontId="3" fillId="10" borderId="53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left" vertical="center"/>
    </xf>
    <xf numFmtId="0" fontId="3" fillId="8" borderId="22" xfId="0" applyFont="1" applyFill="1" applyBorder="1" applyAlignment="1">
      <alignment horizontal="center" vertical="center"/>
    </xf>
    <xf numFmtId="0" fontId="3" fillId="8" borderId="37" xfId="0" applyFont="1" applyFill="1" applyBorder="1" applyAlignment="1">
      <alignment horizontal="center" vertical="center"/>
    </xf>
    <xf numFmtId="0" fontId="3" fillId="8" borderId="17" xfId="0" applyFont="1" applyFill="1" applyBorder="1" applyAlignment="1">
      <alignment horizontal="center" vertical="center"/>
    </xf>
    <xf numFmtId="0" fontId="3" fillId="8" borderId="30" xfId="0" applyFont="1" applyFill="1" applyBorder="1" applyAlignment="1">
      <alignment horizontal="center" vertical="center"/>
    </xf>
    <xf numFmtId="0" fontId="3" fillId="8" borderId="57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8" borderId="14" xfId="0" applyFont="1" applyFill="1" applyBorder="1" applyAlignment="1">
      <alignment horizontal="left" vertical="center"/>
    </xf>
    <xf numFmtId="0" fontId="3" fillId="8" borderId="38" xfId="0" applyFont="1" applyFill="1" applyBorder="1" applyAlignment="1">
      <alignment horizontal="center" vertical="center"/>
    </xf>
    <xf numFmtId="0" fontId="3" fillId="8" borderId="19" xfId="0" applyFont="1" applyFill="1" applyBorder="1" applyAlignment="1">
      <alignment horizontal="center" vertical="center"/>
    </xf>
    <xf numFmtId="0" fontId="3" fillId="8" borderId="52" xfId="0" applyFont="1" applyFill="1" applyBorder="1" applyAlignment="1">
      <alignment horizontal="center" vertical="center"/>
    </xf>
    <xf numFmtId="0" fontId="3" fillId="8" borderId="10" xfId="0" applyFont="1" applyFill="1" applyBorder="1" applyAlignment="1">
      <alignment horizontal="left" vertical="center"/>
    </xf>
    <xf numFmtId="0" fontId="3" fillId="8" borderId="39" xfId="0" applyFont="1" applyFill="1" applyBorder="1" applyAlignment="1">
      <alignment horizontal="center" vertical="center"/>
    </xf>
    <xf numFmtId="0" fontId="3" fillId="8" borderId="15" xfId="0" applyFont="1" applyFill="1" applyBorder="1" applyAlignment="1">
      <alignment horizontal="center" vertical="center"/>
    </xf>
    <xf numFmtId="0" fontId="3" fillId="8" borderId="51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left" vertical="center"/>
    </xf>
    <xf numFmtId="0" fontId="3" fillId="5" borderId="10" xfId="0" applyFont="1" applyFill="1" applyBorder="1" applyAlignment="1">
      <alignment horizontal="left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left" vertical="center"/>
    </xf>
    <xf numFmtId="0" fontId="3" fillId="3" borderId="10" xfId="0" applyFont="1" applyFill="1" applyBorder="1" applyAlignment="1">
      <alignment horizontal="left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0" fontId="3" fillId="3" borderId="51" xfId="0" applyFont="1" applyFill="1" applyBorder="1" applyAlignment="1">
      <alignment horizontal="center" vertical="center"/>
    </xf>
    <xf numFmtId="10" fontId="3" fillId="2" borderId="0" xfId="0" applyNumberFormat="1" applyFont="1" applyFill="1" applyAlignment="1">
      <alignment horizontal="center" vertical="center"/>
    </xf>
    <xf numFmtId="0" fontId="3" fillId="3" borderId="11" xfId="0" applyFont="1" applyFill="1" applyBorder="1" applyAlignment="1">
      <alignment horizontal="left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3" fillId="3" borderId="58" xfId="0" applyFont="1" applyFill="1" applyBorder="1" applyAlignment="1">
      <alignment horizontal="center" vertical="center"/>
    </xf>
    <xf numFmtId="0" fontId="3" fillId="15" borderId="12" xfId="0" applyFont="1" applyFill="1" applyBorder="1" applyAlignment="1">
      <alignment horizontal="left" vertical="center"/>
    </xf>
    <xf numFmtId="0" fontId="3" fillId="15" borderId="12" xfId="0" applyFont="1" applyFill="1" applyBorder="1" applyAlignment="1">
      <alignment horizontal="center" vertical="center"/>
    </xf>
    <xf numFmtId="0" fontId="3" fillId="15" borderId="2" xfId="0" applyFont="1" applyFill="1" applyBorder="1" applyAlignment="1">
      <alignment horizontal="center" vertical="center"/>
    </xf>
    <xf numFmtId="0" fontId="3" fillId="15" borderId="17" xfId="0" applyFont="1" applyFill="1" applyBorder="1" applyAlignment="1">
      <alignment horizontal="center" vertical="center"/>
    </xf>
    <xf numFmtId="0" fontId="3" fillId="15" borderId="30" xfId="0" applyFont="1" applyFill="1" applyBorder="1" applyAlignment="1">
      <alignment horizontal="center" vertical="center"/>
    </xf>
    <xf numFmtId="0" fontId="3" fillId="15" borderId="22" xfId="0" applyFont="1" applyFill="1" applyBorder="1" applyAlignment="1">
      <alignment horizontal="center" vertical="center"/>
    </xf>
    <xf numFmtId="0" fontId="3" fillId="15" borderId="57" xfId="0" applyFont="1" applyFill="1" applyBorder="1" applyAlignment="1">
      <alignment horizontal="center" vertical="center"/>
    </xf>
    <xf numFmtId="0" fontId="3" fillId="15" borderId="10" xfId="0" applyFont="1" applyFill="1" applyBorder="1" applyAlignment="1">
      <alignment horizontal="left" vertical="center"/>
    </xf>
    <xf numFmtId="0" fontId="3" fillId="15" borderId="10" xfId="0" applyFont="1" applyFill="1" applyBorder="1" applyAlignment="1">
      <alignment horizontal="center" vertical="center"/>
    </xf>
    <xf numFmtId="0" fontId="3" fillId="15" borderId="4" xfId="0" applyFont="1" applyFill="1" applyBorder="1" applyAlignment="1">
      <alignment horizontal="center" vertical="center"/>
    </xf>
    <xf numFmtId="0" fontId="3" fillId="15" borderId="15" xfId="0" applyFont="1" applyFill="1" applyBorder="1" applyAlignment="1">
      <alignment horizontal="center" vertical="center"/>
    </xf>
    <xf numFmtId="0" fontId="3" fillId="15" borderId="28" xfId="0" applyFont="1" applyFill="1" applyBorder="1" applyAlignment="1">
      <alignment horizontal="center" vertical="center"/>
    </xf>
    <xf numFmtId="0" fontId="3" fillId="15" borderId="23" xfId="0" applyFont="1" applyFill="1" applyBorder="1" applyAlignment="1">
      <alignment horizontal="center" vertical="center"/>
    </xf>
    <xf numFmtId="0" fontId="3" fillId="15" borderId="51" xfId="0" applyFont="1" applyFill="1" applyBorder="1" applyAlignment="1">
      <alignment horizontal="center" vertical="center"/>
    </xf>
    <xf numFmtId="0" fontId="1" fillId="18" borderId="60" xfId="0" applyFont="1" applyFill="1" applyBorder="1" applyAlignment="1">
      <alignment horizontal="center" vertical="center"/>
    </xf>
    <xf numFmtId="0" fontId="1" fillId="18" borderId="54" xfId="0" applyFont="1" applyFill="1" applyBorder="1" applyAlignment="1">
      <alignment horizontal="center" vertical="center"/>
    </xf>
    <xf numFmtId="10" fontId="1" fillId="18" borderId="54" xfId="0" applyNumberFormat="1" applyFont="1" applyFill="1" applyBorder="1" applyAlignment="1">
      <alignment horizontal="center" vertical="center"/>
    </xf>
    <xf numFmtId="0" fontId="3" fillId="15" borderId="11" xfId="0" applyFont="1" applyFill="1" applyBorder="1" applyAlignment="1">
      <alignment horizontal="left" vertical="center"/>
    </xf>
    <xf numFmtId="0" fontId="3" fillId="15" borderId="11" xfId="0" applyFont="1" applyFill="1" applyBorder="1" applyAlignment="1">
      <alignment horizontal="center" vertical="center"/>
    </xf>
    <xf numFmtId="0" fontId="3" fillId="15" borderId="7" xfId="0" applyFont="1" applyFill="1" applyBorder="1" applyAlignment="1">
      <alignment horizontal="center" vertical="center"/>
    </xf>
    <xf numFmtId="0" fontId="3" fillId="15" borderId="16" xfId="0" applyFont="1" applyFill="1" applyBorder="1" applyAlignment="1">
      <alignment horizontal="center" vertical="center"/>
    </xf>
    <xf numFmtId="0" fontId="3" fillId="15" borderId="29" xfId="0" applyFont="1" applyFill="1" applyBorder="1" applyAlignment="1">
      <alignment horizontal="center" vertical="center"/>
    </xf>
    <xf numFmtId="0" fontId="3" fillId="15" borderId="26" xfId="0" applyFont="1" applyFill="1" applyBorder="1" applyAlignment="1">
      <alignment horizontal="center" vertical="center"/>
    </xf>
    <xf numFmtId="0" fontId="3" fillId="15" borderId="53" xfId="0" applyFont="1" applyFill="1" applyBorder="1" applyAlignment="1">
      <alignment horizontal="center" vertical="center"/>
    </xf>
    <xf numFmtId="0" fontId="3" fillId="20" borderId="43" xfId="0" applyFont="1" applyFill="1" applyBorder="1" applyAlignment="1">
      <alignment horizontal="left" vertical="center"/>
    </xf>
    <xf numFmtId="0" fontId="3" fillId="20" borderId="44" xfId="0" applyFont="1" applyFill="1" applyBorder="1" applyAlignment="1">
      <alignment vertical="center"/>
    </xf>
    <xf numFmtId="0" fontId="3" fillId="20" borderId="42" xfId="0" applyFont="1" applyFill="1" applyBorder="1" applyAlignment="1">
      <alignment horizontal="center" vertical="center"/>
    </xf>
    <xf numFmtId="0" fontId="3" fillId="20" borderId="45" xfId="0" applyFont="1" applyFill="1" applyBorder="1" applyAlignment="1">
      <alignment horizontal="center" vertical="center"/>
    </xf>
    <xf numFmtId="0" fontId="3" fillId="20" borderId="61" xfId="0" applyFont="1" applyFill="1" applyBorder="1" applyAlignment="1">
      <alignment horizontal="center" vertical="center"/>
    </xf>
    <xf numFmtId="0" fontId="3" fillId="20" borderId="62" xfId="0" applyFont="1" applyFill="1" applyBorder="1" applyAlignment="1">
      <alignment horizontal="center" vertical="center"/>
    </xf>
    <xf numFmtId="0" fontId="3" fillId="20" borderId="20" xfId="0" applyFont="1" applyFill="1" applyBorder="1" applyAlignment="1">
      <alignment horizontal="center" vertical="center"/>
    </xf>
    <xf numFmtId="0" fontId="3" fillId="20" borderId="56" xfId="0" applyFont="1" applyFill="1" applyBorder="1" applyAlignment="1">
      <alignment horizontal="left" vertical="center"/>
    </xf>
    <xf numFmtId="0" fontId="3" fillId="20" borderId="56" xfId="0" applyFont="1" applyFill="1" applyBorder="1" applyAlignment="1">
      <alignment vertical="center"/>
    </xf>
    <xf numFmtId="0" fontId="3" fillId="20" borderId="51" xfId="0" applyFont="1" applyFill="1" applyBorder="1" applyAlignment="1">
      <alignment horizontal="center" vertical="center"/>
    </xf>
    <xf numFmtId="0" fontId="3" fillId="20" borderId="4" xfId="0" applyFont="1" applyFill="1" applyBorder="1" applyAlignment="1">
      <alignment horizontal="center" vertical="center"/>
    </xf>
    <xf numFmtId="0" fontId="3" fillId="20" borderId="15" xfId="0" applyFont="1" applyFill="1" applyBorder="1" applyAlignment="1">
      <alignment horizontal="center" vertical="center"/>
    </xf>
    <xf numFmtId="0" fontId="3" fillId="20" borderId="28" xfId="0" applyFont="1" applyFill="1" applyBorder="1" applyAlignment="1">
      <alignment horizontal="center" vertical="center"/>
    </xf>
    <xf numFmtId="0" fontId="3" fillId="20" borderId="23" xfId="0" applyFont="1" applyFill="1" applyBorder="1" applyAlignment="1">
      <alignment horizontal="center" vertical="center"/>
    </xf>
    <xf numFmtId="0" fontId="3" fillId="20" borderId="3" xfId="0" applyFont="1" applyFill="1" applyBorder="1" applyAlignment="1">
      <alignment horizontal="left" vertical="center"/>
    </xf>
    <xf numFmtId="0" fontId="3" fillId="20" borderId="5" xfId="0" applyFont="1" applyFill="1" applyBorder="1" applyAlignment="1">
      <alignment horizontal="left" vertical="center"/>
    </xf>
    <xf numFmtId="0" fontId="3" fillId="20" borderId="59" xfId="0" applyFont="1" applyFill="1" applyBorder="1" applyAlignment="1">
      <alignment vertical="center"/>
    </xf>
    <xf numFmtId="0" fontId="3" fillId="20" borderId="58" xfId="0" applyFont="1" applyFill="1" applyBorder="1" applyAlignment="1">
      <alignment horizontal="center" vertical="center"/>
    </xf>
    <xf numFmtId="0" fontId="3" fillId="20" borderId="6" xfId="0" applyFont="1" applyFill="1" applyBorder="1" applyAlignment="1">
      <alignment horizontal="center" vertical="center"/>
    </xf>
    <xf numFmtId="0" fontId="3" fillId="20" borderId="18" xfId="0" applyFont="1" applyFill="1" applyBorder="1" applyAlignment="1">
      <alignment horizontal="center" vertical="center"/>
    </xf>
    <xf numFmtId="0" fontId="3" fillId="20" borderId="31" xfId="0" applyFont="1" applyFill="1" applyBorder="1" applyAlignment="1">
      <alignment horizontal="center" vertical="center"/>
    </xf>
    <xf numFmtId="0" fontId="3" fillId="20" borderId="24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10" fontId="1" fillId="2" borderId="0" xfId="0" applyNumberFormat="1" applyFont="1" applyFill="1" applyAlignment="1">
      <alignment horizontal="center" vertical="center"/>
    </xf>
    <xf numFmtId="0" fontId="3" fillId="8" borderId="26" xfId="0" applyFont="1" applyFill="1" applyBorder="1" applyAlignment="1">
      <alignment horizontal="center" vertical="center"/>
    </xf>
    <xf numFmtId="0" fontId="3" fillId="8" borderId="40" xfId="0" applyFont="1" applyFill="1" applyBorder="1" applyAlignment="1">
      <alignment horizontal="center" vertical="center"/>
    </xf>
    <xf numFmtId="0" fontId="3" fillId="8" borderId="16" xfId="0" applyFont="1" applyFill="1" applyBorder="1" applyAlignment="1">
      <alignment horizontal="center" vertical="center"/>
    </xf>
    <xf numFmtId="0" fontId="3" fillId="8" borderId="29" xfId="0" applyFont="1" applyFill="1" applyBorder="1" applyAlignment="1">
      <alignment horizontal="center" vertical="center"/>
    </xf>
    <xf numFmtId="0" fontId="3" fillId="8" borderId="5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32" xfId="0" applyFont="1" applyFill="1" applyBorder="1" applyAlignment="1">
      <alignment horizontal="center" vertical="center"/>
    </xf>
    <xf numFmtId="0" fontId="3" fillId="3" borderId="25" xfId="0" applyFont="1" applyFill="1" applyBorder="1" applyAlignment="1">
      <alignment horizontal="center" vertical="center"/>
    </xf>
    <xf numFmtId="0" fontId="3" fillId="3" borderId="5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3" fillId="5" borderId="31" xfId="0" applyFont="1" applyFill="1" applyBorder="1" applyAlignment="1">
      <alignment horizontal="center" vertical="center"/>
    </xf>
    <xf numFmtId="0" fontId="3" fillId="6" borderId="20" xfId="0" applyFont="1" applyFill="1" applyBorder="1" applyAlignment="1">
      <alignment horizontal="center" vertical="center"/>
    </xf>
    <xf numFmtId="0" fontId="3" fillId="6" borderId="34" xfId="0" applyFont="1" applyFill="1" applyBorder="1" applyAlignment="1">
      <alignment horizontal="center" vertical="center"/>
    </xf>
    <xf numFmtId="0" fontId="3" fillId="10" borderId="20" xfId="0" applyFont="1" applyFill="1" applyBorder="1" applyAlignment="1">
      <alignment horizontal="center" vertical="center"/>
    </xf>
    <xf numFmtId="0" fontId="3" fillId="11" borderId="20" xfId="0" applyFont="1" applyFill="1" applyBorder="1" applyAlignment="1">
      <alignment horizontal="center" vertical="center"/>
    </xf>
    <xf numFmtId="0" fontId="3" fillId="11" borderId="21" xfId="0" applyFont="1" applyFill="1" applyBorder="1" applyAlignment="1">
      <alignment horizontal="center" vertical="center"/>
    </xf>
    <xf numFmtId="0" fontId="3" fillId="8" borderId="34" xfId="0" applyFont="1" applyFill="1" applyBorder="1" applyAlignment="1">
      <alignment horizontal="center" vertical="center"/>
    </xf>
    <xf numFmtId="0" fontId="3" fillId="10" borderId="34" xfId="0" applyFont="1" applyFill="1" applyBorder="1" applyAlignment="1">
      <alignment horizontal="center" vertical="center"/>
    </xf>
    <xf numFmtId="0" fontId="3" fillId="7" borderId="21" xfId="0" applyFont="1" applyFill="1" applyBorder="1" applyAlignment="1">
      <alignment horizontal="center" vertical="center"/>
    </xf>
    <xf numFmtId="0" fontId="3" fillId="13" borderId="34" xfId="0" applyFont="1" applyFill="1" applyBorder="1" applyAlignment="1">
      <alignment horizontal="center" vertical="center"/>
    </xf>
    <xf numFmtId="0" fontId="3" fillId="7" borderId="34" xfId="0" applyFont="1" applyFill="1" applyBorder="1" applyAlignment="1">
      <alignment horizontal="center" vertical="center"/>
    </xf>
    <xf numFmtId="0" fontId="3" fillId="13" borderId="22" xfId="0" applyFont="1" applyFill="1" applyBorder="1" applyAlignment="1">
      <alignment horizontal="center" vertical="center"/>
    </xf>
    <xf numFmtId="0" fontId="3" fillId="11" borderId="34" xfId="0" applyFont="1" applyFill="1" applyBorder="1" applyAlignment="1">
      <alignment horizontal="center" vertical="center"/>
    </xf>
    <xf numFmtId="0" fontId="3" fillId="11" borderId="33" xfId="0" applyFont="1" applyFill="1" applyBorder="1" applyAlignment="1">
      <alignment horizontal="center" vertical="center"/>
    </xf>
    <xf numFmtId="0" fontId="3" fillId="9" borderId="34" xfId="0" applyFont="1" applyFill="1" applyBorder="1" applyAlignment="1">
      <alignment horizontal="center" vertical="center"/>
    </xf>
    <xf numFmtId="0" fontId="2" fillId="5" borderId="34" xfId="0" applyFont="1" applyFill="1" applyBorder="1" applyAlignment="1">
      <alignment horizontal="center" vertical="center"/>
    </xf>
    <xf numFmtId="0" fontId="2" fillId="5" borderId="42" xfId="0" applyFont="1" applyFill="1" applyBorder="1" applyAlignment="1">
      <alignment horizontal="center" vertical="center"/>
    </xf>
    <xf numFmtId="0" fontId="2" fillId="5" borderId="36" xfId="0" applyFont="1" applyFill="1" applyBorder="1" applyAlignment="1">
      <alignment horizontal="center" vertical="center"/>
    </xf>
    <xf numFmtId="0" fontId="2" fillId="5" borderId="41" xfId="0" applyFont="1" applyFill="1" applyBorder="1" applyAlignment="1">
      <alignment horizontal="center" vertical="center"/>
    </xf>
    <xf numFmtId="0" fontId="2" fillId="5" borderId="47" xfId="0" applyFont="1" applyFill="1" applyBorder="1" applyAlignment="1">
      <alignment horizontal="center" vertical="center"/>
    </xf>
    <xf numFmtId="0" fontId="2" fillId="5" borderId="46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3" fillId="6" borderId="40" xfId="0" applyFont="1" applyFill="1" applyBorder="1" applyAlignment="1">
      <alignment horizontal="center" vertical="center"/>
    </xf>
    <xf numFmtId="0" fontId="3" fillId="6" borderId="38" xfId="0" applyFont="1" applyFill="1" applyBorder="1" applyAlignment="1">
      <alignment horizontal="center" vertical="center"/>
    </xf>
    <xf numFmtId="0" fontId="3" fillId="13" borderId="40" xfId="0" applyFont="1" applyFill="1" applyBorder="1" applyAlignment="1">
      <alignment horizontal="center" vertical="center"/>
    </xf>
    <xf numFmtId="0" fontId="3" fillId="13" borderId="38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  <xf numFmtId="0" fontId="3" fillId="13" borderId="11" xfId="0" applyFont="1" applyFill="1" applyBorder="1" applyAlignment="1">
      <alignment horizontal="center" vertical="center"/>
    </xf>
    <xf numFmtId="0" fontId="3" fillId="13" borderId="14" xfId="0" applyFont="1" applyFill="1" applyBorder="1" applyAlignment="1">
      <alignment horizontal="center" vertical="center"/>
    </xf>
    <xf numFmtId="0" fontId="3" fillId="13" borderId="26" xfId="0" applyFont="1" applyFill="1" applyBorder="1" applyAlignment="1">
      <alignment horizontal="center" vertical="center"/>
    </xf>
    <xf numFmtId="0" fontId="3" fillId="13" borderId="25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3" fillId="6" borderId="25" xfId="0" applyFont="1" applyFill="1" applyBorder="1" applyAlignment="1">
      <alignment horizontal="center" vertical="center"/>
    </xf>
    <xf numFmtId="0" fontId="3" fillId="15" borderId="26" xfId="0" applyFont="1" applyFill="1" applyBorder="1" applyAlignment="1">
      <alignment horizontal="center" vertical="center"/>
    </xf>
    <xf numFmtId="0" fontId="3" fillId="15" borderId="27" xfId="0" applyFont="1" applyFill="1" applyBorder="1" applyAlignment="1">
      <alignment horizontal="center" vertical="center"/>
    </xf>
    <xf numFmtId="10" fontId="3" fillId="9" borderId="20" xfId="0" applyNumberFormat="1" applyFont="1" applyFill="1" applyBorder="1" applyAlignment="1">
      <alignment horizontal="center" vertical="center"/>
    </xf>
    <xf numFmtId="10" fontId="3" fillId="9" borderId="21" xfId="0" applyNumberFormat="1" applyFont="1" applyFill="1" applyBorder="1" applyAlignment="1">
      <alignment horizontal="center" vertical="center"/>
    </xf>
    <xf numFmtId="10" fontId="3" fillId="9" borderId="27" xfId="0" applyNumberFormat="1" applyFont="1" applyFill="1" applyBorder="1" applyAlignment="1">
      <alignment horizontal="center" vertical="center"/>
    </xf>
    <xf numFmtId="10" fontId="3" fillId="13" borderId="20" xfId="0" applyNumberFormat="1" applyFont="1" applyFill="1" applyBorder="1" applyAlignment="1">
      <alignment horizontal="center" vertical="center"/>
    </xf>
    <xf numFmtId="10" fontId="3" fillId="13" borderId="21" xfId="0" applyNumberFormat="1" applyFont="1" applyFill="1" applyBorder="1" applyAlignment="1">
      <alignment horizontal="center" vertical="center"/>
    </xf>
    <xf numFmtId="10" fontId="3" fillId="13" borderId="27" xfId="0" applyNumberFormat="1" applyFont="1" applyFill="1" applyBorder="1" applyAlignment="1">
      <alignment horizontal="center" vertical="center"/>
    </xf>
    <xf numFmtId="0" fontId="3" fillId="6" borderId="34" xfId="0" applyFont="1" applyFill="1" applyBorder="1" applyAlignment="1">
      <alignment horizontal="center" vertical="center"/>
    </xf>
    <xf numFmtId="0" fontId="3" fillId="6" borderId="41" xfId="0" applyFont="1" applyFill="1" applyBorder="1" applyAlignment="1">
      <alignment horizontal="center" vertical="center"/>
    </xf>
    <xf numFmtId="0" fontId="3" fillId="6" borderId="20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3" fillId="14" borderId="20" xfId="0" applyFont="1" applyFill="1" applyBorder="1" applyAlignment="1">
      <alignment horizontal="center" vertical="center"/>
    </xf>
    <xf numFmtId="0" fontId="3" fillId="14" borderId="27" xfId="0" applyFont="1" applyFill="1" applyBorder="1" applyAlignment="1">
      <alignment horizontal="center" vertical="center"/>
    </xf>
    <xf numFmtId="0" fontId="3" fillId="14" borderId="21" xfId="0" applyFont="1" applyFill="1" applyBorder="1" applyAlignment="1">
      <alignment horizontal="center" vertical="center"/>
    </xf>
    <xf numFmtId="0" fontId="3" fillId="14" borderId="34" xfId="0" applyFont="1" applyFill="1" applyBorder="1" applyAlignment="1">
      <alignment horizontal="center" vertical="center"/>
    </xf>
    <xf numFmtId="0" fontId="3" fillId="14" borderId="33" xfId="0" applyFont="1" applyFill="1" applyBorder="1" applyAlignment="1">
      <alignment horizontal="center" vertical="center"/>
    </xf>
    <xf numFmtId="0" fontId="3" fillId="14" borderId="36" xfId="0" applyFont="1" applyFill="1" applyBorder="1" applyAlignment="1">
      <alignment horizontal="center" vertical="center"/>
    </xf>
    <xf numFmtId="0" fontId="3" fillId="14" borderId="35" xfId="0" applyFont="1" applyFill="1" applyBorder="1" applyAlignment="1">
      <alignment horizontal="center" vertical="center"/>
    </xf>
    <xf numFmtId="0" fontId="3" fillId="11" borderId="20" xfId="0" applyFont="1" applyFill="1" applyBorder="1" applyAlignment="1">
      <alignment horizontal="center" vertical="center"/>
    </xf>
    <xf numFmtId="0" fontId="3" fillId="11" borderId="21" xfId="0" applyFont="1" applyFill="1" applyBorder="1" applyAlignment="1">
      <alignment horizontal="center" vertical="center"/>
    </xf>
    <xf numFmtId="0" fontId="3" fillId="11" borderId="27" xfId="0" applyFont="1" applyFill="1" applyBorder="1" applyAlignment="1">
      <alignment horizontal="center" vertical="center"/>
    </xf>
    <xf numFmtId="0" fontId="3" fillId="7" borderId="21" xfId="0" applyFont="1" applyFill="1" applyBorder="1" applyAlignment="1">
      <alignment horizontal="center" vertical="center"/>
    </xf>
    <xf numFmtId="0" fontId="3" fillId="7" borderId="27" xfId="0" applyFont="1" applyFill="1" applyBorder="1" applyAlignment="1">
      <alignment horizontal="center" vertical="center"/>
    </xf>
    <xf numFmtId="0" fontId="3" fillId="8" borderId="32" xfId="0" applyFont="1" applyFill="1" applyBorder="1" applyAlignment="1">
      <alignment horizontal="center" vertical="center"/>
    </xf>
    <xf numFmtId="0" fontId="3" fillId="8" borderId="28" xfId="0" applyFont="1" applyFill="1" applyBorder="1" applyAlignment="1">
      <alignment horizontal="center" vertical="center"/>
    </xf>
    <xf numFmtId="0" fontId="3" fillId="8" borderId="31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4" borderId="26" xfId="0" applyFont="1" applyFill="1" applyBorder="1" applyAlignment="1">
      <alignment horizontal="center" vertical="center"/>
    </xf>
    <xf numFmtId="0" fontId="3" fillId="4" borderId="25" xfId="0" applyFont="1" applyFill="1" applyBorder="1" applyAlignment="1">
      <alignment horizontal="center" vertical="center"/>
    </xf>
    <xf numFmtId="0" fontId="3" fillId="9" borderId="25" xfId="0" applyFont="1" applyFill="1" applyBorder="1" applyAlignment="1">
      <alignment horizontal="center" vertical="center"/>
    </xf>
    <xf numFmtId="0" fontId="3" fillId="9" borderId="23" xfId="0" applyFont="1" applyFill="1" applyBorder="1" applyAlignment="1">
      <alignment horizontal="center" vertical="center"/>
    </xf>
    <xf numFmtId="0" fontId="3" fillId="9" borderId="24" xfId="0" applyFont="1" applyFill="1" applyBorder="1" applyAlignment="1">
      <alignment horizontal="center" vertical="center"/>
    </xf>
    <xf numFmtId="0" fontId="3" fillId="13" borderId="22" xfId="0" applyFont="1" applyFill="1" applyBorder="1" applyAlignment="1">
      <alignment horizontal="center" vertical="center"/>
    </xf>
    <xf numFmtId="0" fontId="3" fillId="13" borderId="23" xfId="0" applyFont="1" applyFill="1" applyBorder="1" applyAlignment="1">
      <alignment horizontal="center" vertical="center"/>
    </xf>
    <xf numFmtId="0" fontId="3" fillId="13" borderId="24" xfId="0" applyFont="1" applyFill="1" applyBorder="1" applyAlignment="1">
      <alignment horizontal="center" vertical="center"/>
    </xf>
    <xf numFmtId="0" fontId="3" fillId="9" borderId="20" xfId="0" applyFont="1" applyFill="1" applyBorder="1" applyAlignment="1">
      <alignment horizontal="center" vertical="center"/>
    </xf>
    <xf numFmtId="0" fontId="3" fillId="9" borderId="21" xfId="0" applyFont="1" applyFill="1" applyBorder="1" applyAlignment="1">
      <alignment horizontal="center" vertical="center"/>
    </xf>
    <xf numFmtId="0" fontId="3" fillId="9" borderId="27" xfId="0" applyFont="1" applyFill="1" applyBorder="1" applyAlignment="1">
      <alignment horizontal="center" vertical="center"/>
    </xf>
    <xf numFmtId="0" fontId="3" fillId="6" borderId="36" xfId="0" applyFont="1" applyFill="1" applyBorder="1" applyAlignment="1">
      <alignment horizontal="center" vertical="center"/>
    </xf>
    <xf numFmtId="10" fontId="3" fillId="11" borderId="20" xfId="0" applyNumberFormat="1" applyFont="1" applyFill="1" applyBorder="1" applyAlignment="1">
      <alignment horizontal="center" vertical="center"/>
    </xf>
    <xf numFmtId="10" fontId="3" fillId="11" borderId="21" xfId="0" applyNumberFormat="1" applyFont="1" applyFill="1" applyBorder="1" applyAlignment="1">
      <alignment horizontal="center" vertical="center"/>
    </xf>
    <xf numFmtId="10" fontId="3" fillId="11" borderId="27" xfId="0" applyNumberFormat="1" applyFont="1" applyFill="1" applyBorder="1" applyAlignment="1">
      <alignment horizontal="center" vertical="center"/>
    </xf>
    <xf numFmtId="0" fontId="3" fillId="11" borderId="34" xfId="0" applyFont="1" applyFill="1" applyBorder="1" applyAlignment="1">
      <alignment horizontal="center" vertical="center"/>
    </xf>
    <xf numFmtId="0" fontId="3" fillId="11" borderId="33" xfId="0" applyFont="1" applyFill="1" applyBorder="1" applyAlignment="1">
      <alignment horizontal="center" vertical="center"/>
    </xf>
    <xf numFmtId="0" fontId="3" fillId="11" borderId="41" xfId="0" applyFont="1" applyFill="1" applyBorder="1" applyAlignment="1">
      <alignment horizontal="center" vertical="center"/>
    </xf>
    <xf numFmtId="0" fontId="3" fillId="4" borderId="40" xfId="0" applyFont="1" applyFill="1" applyBorder="1" applyAlignment="1">
      <alignment horizontal="center" vertical="center"/>
    </xf>
    <xf numFmtId="0" fontId="3" fillId="4" borderId="38" xfId="0" applyFont="1" applyFill="1" applyBorder="1" applyAlignment="1">
      <alignment horizontal="center" vertical="center"/>
    </xf>
    <xf numFmtId="0" fontId="3" fillId="8" borderId="34" xfId="0" applyFont="1" applyFill="1" applyBorder="1" applyAlignment="1">
      <alignment horizontal="center" vertical="center"/>
    </xf>
    <xf numFmtId="0" fontId="3" fillId="8" borderId="33" xfId="0" applyFont="1" applyFill="1" applyBorder="1" applyAlignment="1">
      <alignment horizontal="center" vertical="center"/>
    </xf>
    <xf numFmtId="0" fontId="3" fillId="8" borderId="41" xfId="0" applyFont="1" applyFill="1" applyBorder="1" applyAlignment="1">
      <alignment horizontal="center" vertical="center"/>
    </xf>
    <xf numFmtId="0" fontId="3" fillId="9" borderId="34" xfId="0" applyFont="1" applyFill="1" applyBorder="1" applyAlignment="1">
      <alignment horizontal="center" vertical="center"/>
    </xf>
    <xf numFmtId="0" fontId="3" fillId="9" borderId="33" xfId="0" applyFont="1" applyFill="1" applyBorder="1" applyAlignment="1">
      <alignment horizontal="center" vertical="center"/>
    </xf>
    <xf numFmtId="0" fontId="3" fillId="9" borderId="41" xfId="0" applyFont="1" applyFill="1" applyBorder="1" applyAlignment="1">
      <alignment horizontal="center" vertical="center"/>
    </xf>
    <xf numFmtId="0" fontId="3" fillId="15" borderId="40" xfId="0" applyFont="1" applyFill="1" applyBorder="1" applyAlignment="1">
      <alignment horizontal="center" vertical="center"/>
    </xf>
    <xf numFmtId="0" fontId="3" fillId="15" borderId="46" xfId="0" applyFont="1" applyFill="1" applyBorder="1" applyAlignment="1">
      <alignment horizontal="center" vertical="center"/>
    </xf>
    <xf numFmtId="0" fontId="3" fillId="6" borderId="46" xfId="0" applyFont="1" applyFill="1" applyBorder="1" applyAlignment="1">
      <alignment horizontal="center" vertical="center"/>
    </xf>
    <xf numFmtId="0" fontId="1" fillId="21" borderId="20" xfId="0" applyFont="1" applyFill="1" applyBorder="1" applyAlignment="1">
      <alignment horizontal="center" vertical="center"/>
    </xf>
    <xf numFmtId="0" fontId="1" fillId="21" borderId="27" xfId="0" applyFont="1" applyFill="1" applyBorder="1" applyAlignment="1">
      <alignment horizontal="center" vertical="center"/>
    </xf>
    <xf numFmtId="10" fontId="1" fillId="21" borderId="20" xfId="0" applyNumberFormat="1" applyFont="1" applyFill="1" applyBorder="1" applyAlignment="1">
      <alignment horizontal="center" vertical="center"/>
    </xf>
    <xf numFmtId="10" fontId="1" fillId="21" borderId="27" xfId="0" applyNumberFormat="1" applyFont="1" applyFill="1" applyBorder="1" applyAlignment="1">
      <alignment horizontal="center" vertical="center"/>
    </xf>
    <xf numFmtId="0" fontId="1" fillId="10" borderId="20" xfId="0" applyFont="1" applyFill="1" applyBorder="1" applyAlignment="1">
      <alignment horizontal="center" vertical="center"/>
    </xf>
    <xf numFmtId="0" fontId="1" fillId="10" borderId="27" xfId="0" applyFont="1" applyFill="1" applyBorder="1" applyAlignment="1">
      <alignment horizontal="center" vertical="center"/>
    </xf>
    <xf numFmtId="10" fontId="1" fillId="10" borderId="20" xfId="0" applyNumberFormat="1" applyFont="1" applyFill="1" applyBorder="1" applyAlignment="1">
      <alignment horizontal="center" vertical="center"/>
    </xf>
    <xf numFmtId="10" fontId="1" fillId="10" borderId="27" xfId="0" applyNumberFormat="1" applyFont="1" applyFill="1" applyBorder="1" applyAlignment="1">
      <alignment horizontal="center" vertical="center"/>
    </xf>
    <xf numFmtId="0" fontId="4" fillId="8" borderId="34" xfId="0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0" fontId="3" fillId="10" borderId="20" xfId="0" applyNumberFormat="1" applyFont="1" applyFill="1" applyBorder="1" applyAlignment="1">
      <alignment horizontal="center" vertical="center"/>
    </xf>
    <xf numFmtId="10" fontId="3" fillId="10" borderId="21" xfId="0" applyNumberFormat="1" applyFont="1" applyFill="1" applyBorder="1" applyAlignment="1">
      <alignment horizontal="center" vertical="center"/>
    </xf>
    <xf numFmtId="10" fontId="3" fillId="10" borderId="27" xfId="0" applyNumberFormat="1" applyFont="1" applyFill="1" applyBorder="1" applyAlignment="1">
      <alignment horizontal="center" vertical="center"/>
    </xf>
    <xf numFmtId="10" fontId="3" fillId="5" borderId="20" xfId="0" applyNumberFormat="1" applyFont="1" applyFill="1" applyBorder="1" applyAlignment="1">
      <alignment horizontal="center" vertical="center"/>
    </xf>
    <xf numFmtId="10" fontId="3" fillId="5" borderId="21" xfId="0" applyNumberFormat="1" applyFont="1" applyFill="1" applyBorder="1" applyAlignment="1">
      <alignment horizontal="center" vertical="center"/>
    </xf>
    <xf numFmtId="10" fontId="3" fillId="5" borderId="27" xfId="0" applyNumberFormat="1" applyFont="1" applyFill="1" applyBorder="1" applyAlignment="1">
      <alignment horizontal="center" vertical="center"/>
    </xf>
    <xf numFmtId="0" fontId="3" fillId="12" borderId="20" xfId="0" applyFont="1" applyFill="1" applyBorder="1" applyAlignment="1">
      <alignment horizontal="center" vertical="center"/>
    </xf>
    <xf numFmtId="0" fontId="3" fillId="12" borderId="27" xfId="0" applyFont="1" applyFill="1" applyBorder="1" applyAlignment="1">
      <alignment horizontal="center" vertical="center"/>
    </xf>
    <xf numFmtId="0" fontId="3" fillId="20" borderId="42" xfId="0" applyFont="1" applyFill="1" applyBorder="1" applyAlignment="1">
      <alignment horizontal="center" vertical="center"/>
    </xf>
    <xf numFmtId="0" fontId="3" fillId="20" borderId="0" xfId="0" applyFont="1" applyFill="1" applyAlignment="1">
      <alignment horizontal="center" vertical="center"/>
    </xf>
    <xf numFmtId="0" fontId="3" fillId="20" borderId="47" xfId="0" applyFont="1" applyFill="1" applyBorder="1" applyAlignment="1">
      <alignment horizontal="center" vertical="center"/>
    </xf>
    <xf numFmtId="0" fontId="4" fillId="20" borderId="34" xfId="0" applyFont="1" applyFill="1" applyBorder="1" applyAlignment="1">
      <alignment horizontal="center" vertical="center"/>
    </xf>
    <xf numFmtId="0" fontId="4" fillId="20" borderId="42" xfId="0" applyFont="1" applyFill="1" applyBorder="1" applyAlignment="1">
      <alignment horizontal="center" vertical="center"/>
    </xf>
    <xf numFmtId="0" fontId="4" fillId="20" borderId="36" xfId="0" applyFont="1" applyFill="1" applyBorder="1" applyAlignment="1">
      <alignment horizontal="center" vertical="center"/>
    </xf>
    <xf numFmtId="10" fontId="3" fillId="15" borderId="20" xfId="0" applyNumberFormat="1" applyFont="1" applyFill="1" applyBorder="1" applyAlignment="1">
      <alignment horizontal="center" vertical="center"/>
    </xf>
    <xf numFmtId="10" fontId="3" fillId="15" borderId="21" xfId="0" applyNumberFormat="1" applyFont="1" applyFill="1" applyBorder="1" applyAlignment="1">
      <alignment horizontal="center" vertical="center"/>
    </xf>
    <xf numFmtId="10" fontId="3" fillId="15" borderId="27" xfId="0" applyNumberFormat="1" applyFont="1" applyFill="1" applyBorder="1" applyAlignment="1">
      <alignment horizontal="center" vertical="center"/>
    </xf>
    <xf numFmtId="0" fontId="3" fillId="19" borderId="20" xfId="0" applyFont="1" applyFill="1" applyBorder="1" applyAlignment="1">
      <alignment horizontal="center" vertical="center"/>
    </xf>
    <xf numFmtId="0" fontId="3" fillId="19" borderId="27" xfId="0" applyFont="1" applyFill="1" applyBorder="1" applyAlignment="1">
      <alignment horizontal="center" vertical="center"/>
    </xf>
    <xf numFmtId="0" fontId="4" fillId="20" borderId="41" xfId="0" applyFont="1" applyFill="1" applyBorder="1" applyAlignment="1">
      <alignment horizontal="center" vertical="center"/>
    </xf>
    <xf numFmtId="0" fontId="4" fillId="20" borderId="47" xfId="0" applyFont="1" applyFill="1" applyBorder="1" applyAlignment="1">
      <alignment horizontal="center" vertical="center"/>
    </xf>
    <xf numFmtId="0" fontId="4" fillId="20" borderId="46" xfId="0" applyFont="1" applyFill="1" applyBorder="1" applyAlignment="1">
      <alignment horizontal="center" vertical="center"/>
    </xf>
    <xf numFmtId="0" fontId="4" fillId="20" borderId="33" xfId="0" applyFont="1" applyFill="1" applyBorder="1" applyAlignment="1">
      <alignment horizontal="center" vertical="center"/>
    </xf>
    <xf numFmtId="0" fontId="4" fillId="20" borderId="0" xfId="0" applyFont="1" applyFill="1" applyAlignment="1">
      <alignment horizontal="center" vertical="center"/>
    </xf>
    <xf numFmtId="0" fontId="4" fillId="20" borderId="35" xfId="0" applyFont="1" applyFill="1" applyBorder="1" applyAlignment="1">
      <alignment horizontal="center" vertical="center"/>
    </xf>
    <xf numFmtId="0" fontId="1" fillId="12" borderId="20" xfId="0" applyFont="1" applyFill="1" applyBorder="1" applyAlignment="1">
      <alignment horizontal="center" vertical="center"/>
    </xf>
    <xf numFmtId="0" fontId="1" fillId="12" borderId="27" xfId="0" applyFont="1" applyFill="1" applyBorder="1" applyAlignment="1">
      <alignment horizontal="center" vertical="center"/>
    </xf>
    <xf numFmtId="0" fontId="3" fillId="13" borderId="20" xfId="0" applyFont="1" applyFill="1" applyBorder="1" applyAlignment="1">
      <alignment horizontal="center" vertical="center"/>
    </xf>
    <xf numFmtId="0" fontId="3" fillId="13" borderId="21" xfId="0" applyFont="1" applyFill="1" applyBorder="1" applyAlignment="1">
      <alignment horizontal="center" vertical="center"/>
    </xf>
    <xf numFmtId="0" fontId="3" fillId="13" borderId="27" xfId="0" applyFont="1" applyFill="1" applyBorder="1" applyAlignment="1">
      <alignment horizontal="center" vertical="center"/>
    </xf>
    <xf numFmtId="0" fontId="3" fillId="7" borderId="20" xfId="0" applyFont="1" applyFill="1" applyBorder="1" applyAlignment="1">
      <alignment horizontal="center" vertical="center"/>
    </xf>
    <xf numFmtId="0" fontId="5" fillId="17" borderId="34" xfId="0" applyFont="1" applyFill="1" applyBorder="1" applyAlignment="1">
      <alignment horizontal="center" vertical="center"/>
    </xf>
    <xf numFmtId="0" fontId="5" fillId="17" borderId="42" xfId="0" applyFont="1" applyFill="1" applyBorder="1" applyAlignment="1">
      <alignment horizontal="center" vertical="center"/>
    </xf>
    <xf numFmtId="0" fontId="5" fillId="17" borderId="36" xfId="0" applyFont="1" applyFill="1" applyBorder="1" applyAlignment="1">
      <alignment horizontal="center" vertical="center"/>
    </xf>
    <xf numFmtId="0" fontId="5" fillId="17" borderId="33" xfId="0" applyFont="1" applyFill="1" applyBorder="1" applyAlignment="1">
      <alignment horizontal="center" vertical="center"/>
    </xf>
    <xf numFmtId="0" fontId="5" fillId="17" borderId="0" xfId="0" applyFont="1" applyFill="1" applyAlignment="1">
      <alignment horizontal="center" vertical="center"/>
    </xf>
    <xf numFmtId="0" fontId="5" fillId="17" borderId="35" xfId="0" applyFont="1" applyFill="1" applyBorder="1" applyAlignment="1">
      <alignment horizontal="center" vertical="center"/>
    </xf>
    <xf numFmtId="0" fontId="5" fillId="17" borderId="41" xfId="0" applyFont="1" applyFill="1" applyBorder="1" applyAlignment="1">
      <alignment horizontal="center" vertical="center"/>
    </xf>
    <xf numFmtId="0" fontId="5" fillId="17" borderId="47" xfId="0" applyFont="1" applyFill="1" applyBorder="1" applyAlignment="1">
      <alignment horizontal="center" vertical="center"/>
    </xf>
    <xf numFmtId="0" fontId="5" fillId="17" borderId="46" xfId="0" applyFont="1" applyFill="1" applyBorder="1" applyAlignment="1">
      <alignment horizontal="center" vertical="center"/>
    </xf>
    <xf numFmtId="10" fontId="3" fillId="8" borderId="20" xfId="0" applyNumberFormat="1" applyFont="1" applyFill="1" applyBorder="1" applyAlignment="1">
      <alignment horizontal="center" vertical="center"/>
    </xf>
    <xf numFmtId="10" fontId="3" fillId="8" borderId="21" xfId="0" applyNumberFormat="1" applyFont="1" applyFill="1" applyBorder="1" applyAlignment="1">
      <alignment horizontal="center" vertical="center"/>
    </xf>
    <xf numFmtId="10" fontId="3" fillId="8" borderId="27" xfId="0" applyNumberFormat="1" applyFont="1" applyFill="1" applyBorder="1" applyAlignment="1">
      <alignment horizontal="center" vertical="center"/>
    </xf>
    <xf numFmtId="0" fontId="3" fillId="13" borderId="34" xfId="0" applyFont="1" applyFill="1" applyBorder="1" applyAlignment="1">
      <alignment horizontal="center" vertical="center"/>
    </xf>
    <xf numFmtId="0" fontId="3" fillId="13" borderId="33" xfId="0" applyFont="1" applyFill="1" applyBorder="1" applyAlignment="1">
      <alignment horizontal="center" vertical="center"/>
    </xf>
    <xf numFmtId="0" fontId="3" fillId="13" borderId="41" xfId="0" applyFont="1" applyFill="1" applyBorder="1" applyAlignment="1">
      <alignment horizontal="center" vertical="center"/>
    </xf>
    <xf numFmtId="0" fontId="3" fillId="7" borderId="34" xfId="0" applyFont="1" applyFill="1" applyBorder="1" applyAlignment="1">
      <alignment horizontal="center" vertical="center"/>
    </xf>
    <xf numFmtId="0" fontId="3" fillId="7" borderId="33" xfId="0" applyFont="1" applyFill="1" applyBorder="1" applyAlignment="1">
      <alignment horizontal="center" vertical="center"/>
    </xf>
    <xf numFmtId="0" fontId="3" fillId="7" borderId="41" xfId="0" applyFont="1" applyFill="1" applyBorder="1" applyAlignment="1">
      <alignment horizontal="center" vertical="center"/>
    </xf>
    <xf numFmtId="0" fontId="3" fillId="15" borderId="11" xfId="0" applyFont="1" applyFill="1" applyBorder="1" applyAlignment="1">
      <alignment horizontal="center" vertical="center"/>
    </xf>
    <xf numFmtId="0" fontId="3" fillId="15" borderId="41" xfId="0" applyFont="1" applyFill="1" applyBorder="1" applyAlignment="1">
      <alignment horizontal="center" vertical="center"/>
    </xf>
    <xf numFmtId="0" fontId="3" fillId="6" borderId="21" xfId="0" applyFont="1" applyFill="1" applyBorder="1" applyAlignment="1">
      <alignment horizontal="center" vertical="center"/>
    </xf>
    <xf numFmtId="0" fontId="3" fillId="6" borderId="33" xfId="0" applyFont="1" applyFill="1" applyBorder="1" applyAlignment="1">
      <alignment horizontal="center" vertical="center"/>
    </xf>
    <xf numFmtId="10" fontId="1" fillId="18" borderId="20" xfId="0" applyNumberFormat="1" applyFont="1" applyFill="1" applyBorder="1" applyAlignment="1">
      <alignment horizontal="center" vertical="center"/>
    </xf>
    <xf numFmtId="10" fontId="1" fillId="18" borderId="27" xfId="0" applyNumberFormat="1" applyFont="1" applyFill="1" applyBorder="1" applyAlignment="1">
      <alignment horizontal="center" vertical="center"/>
    </xf>
    <xf numFmtId="10" fontId="1" fillId="12" borderId="20" xfId="0" applyNumberFormat="1" applyFont="1" applyFill="1" applyBorder="1" applyAlignment="1">
      <alignment horizontal="center" vertical="center"/>
    </xf>
    <xf numFmtId="10" fontId="1" fillId="12" borderId="27" xfId="0" applyNumberFormat="1" applyFont="1" applyFill="1" applyBorder="1" applyAlignment="1">
      <alignment horizontal="center" vertical="center"/>
    </xf>
    <xf numFmtId="0" fontId="1" fillId="18" borderId="34" xfId="0" applyFont="1" applyFill="1" applyBorder="1" applyAlignment="1">
      <alignment horizontal="center" vertical="center"/>
    </xf>
    <xf numFmtId="0" fontId="1" fillId="18" borderId="41" xfId="0" applyFont="1" applyFill="1" applyBorder="1" applyAlignment="1">
      <alignment horizontal="center" vertical="center"/>
    </xf>
    <xf numFmtId="0" fontId="1" fillId="18" borderId="20" xfId="0" applyFont="1" applyFill="1" applyBorder="1" applyAlignment="1">
      <alignment horizontal="center" vertical="center"/>
    </xf>
    <xf numFmtId="0" fontId="1" fillId="18" borderId="27" xfId="0" applyFont="1" applyFill="1" applyBorder="1" applyAlignment="1">
      <alignment horizontal="center" vertical="center"/>
    </xf>
    <xf numFmtId="0" fontId="3" fillId="10" borderId="20" xfId="0" applyFont="1" applyFill="1" applyBorder="1" applyAlignment="1">
      <alignment horizontal="center" vertical="center"/>
    </xf>
    <xf numFmtId="0" fontId="3" fillId="10" borderId="27" xfId="0" applyFont="1" applyFill="1" applyBorder="1" applyAlignment="1">
      <alignment horizontal="center" vertical="center"/>
    </xf>
    <xf numFmtId="0" fontId="1" fillId="19" borderId="20" xfId="0" applyFont="1" applyFill="1" applyBorder="1" applyAlignment="1">
      <alignment horizontal="center" vertical="center"/>
    </xf>
    <xf numFmtId="0" fontId="1" fillId="19" borderId="27" xfId="0" applyFont="1" applyFill="1" applyBorder="1" applyAlignment="1">
      <alignment horizontal="center" vertical="center"/>
    </xf>
    <xf numFmtId="10" fontId="1" fillId="19" borderId="20" xfId="0" applyNumberFormat="1" applyFont="1" applyFill="1" applyBorder="1" applyAlignment="1">
      <alignment horizontal="center" vertical="center"/>
    </xf>
    <xf numFmtId="10" fontId="1" fillId="19" borderId="27" xfId="0" applyNumberFormat="1" applyFont="1" applyFill="1" applyBorder="1" applyAlignment="1">
      <alignment horizontal="center" vertical="center"/>
    </xf>
    <xf numFmtId="0" fontId="3" fillId="8" borderId="20" xfId="0" applyFont="1" applyFill="1" applyBorder="1" applyAlignment="1">
      <alignment horizontal="center" vertical="center"/>
    </xf>
    <xf numFmtId="0" fontId="3" fillId="8" borderId="21" xfId="0" applyFont="1" applyFill="1" applyBorder="1" applyAlignment="1">
      <alignment horizontal="center" vertical="center"/>
    </xf>
    <xf numFmtId="0" fontId="3" fillId="8" borderId="27" xfId="0" applyFont="1" applyFill="1" applyBorder="1" applyAlignment="1">
      <alignment horizontal="center" vertical="center"/>
    </xf>
    <xf numFmtId="0" fontId="3" fillId="10" borderId="21" xfId="0" applyFont="1" applyFill="1" applyBorder="1" applyAlignment="1">
      <alignment horizontal="center" vertical="center"/>
    </xf>
    <xf numFmtId="0" fontId="3" fillId="10" borderId="34" xfId="0" applyFont="1" applyFill="1" applyBorder="1" applyAlignment="1">
      <alignment horizontal="center" vertical="center"/>
    </xf>
    <xf numFmtId="0" fontId="3" fillId="10" borderId="33" xfId="0" applyFont="1" applyFill="1" applyBorder="1" applyAlignment="1">
      <alignment horizontal="center" vertical="center"/>
    </xf>
    <xf numFmtId="0" fontId="3" fillId="10" borderId="41" xfId="0" applyFont="1" applyFill="1" applyBorder="1" applyAlignment="1">
      <alignment horizontal="center" vertical="center"/>
    </xf>
    <xf numFmtId="0" fontId="3" fillId="15" borderId="20" xfId="0" applyFont="1" applyFill="1" applyBorder="1" applyAlignment="1">
      <alignment horizontal="center" vertical="center"/>
    </xf>
    <xf numFmtId="0" fontId="3" fillId="15" borderId="21" xfId="0" applyFont="1" applyFill="1" applyBorder="1" applyAlignment="1">
      <alignment horizontal="center" vertical="center"/>
    </xf>
    <xf numFmtId="0" fontId="3" fillId="15" borderId="34" xfId="0" applyFont="1" applyFill="1" applyBorder="1" applyAlignment="1">
      <alignment horizontal="center" vertical="center"/>
    </xf>
    <xf numFmtId="0" fontId="3" fillId="15" borderId="33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41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vertical="center"/>
    </xf>
    <xf numFmtId="0" fontId="3" fillId="5" borderId="21" xfId="0" applyFont="1" applyFill="1" applyBorder="1" applyAlignment="1">
      <alignment vertical="center"/>
    </xf>
    <xf numFmtId="0" fontId="3" fillId="5" borderId="27" xfId="0" applyFont="1" applyFill="1" applyBorder="1" applyAlignment="1">
      <alignment vertical="center"/>
    </xf>
    <xf numFmtId="0" fontId="7" fillId="11" borderId="22" xfId="0" applyFont="1" applyFill="1" applyBorder="1" applyAlignment="1">
      <alignment horizontal="center" vertical="center"/>
    </xf>
    <xf numFmtId="0" fontId="7" fillId="8" borderId="25" xfId="0" applyFont="1" applyFill="1" applyBorder="1" applyAlignment="1">
      <alignment horizontal="center" vertical="center"/>
    </xf>
    <xf numFmtId="0" fontId="7" fillId="9" borderId="22" xfId="0" applyFont="1" applyFill="1" applyBorder="1" applyAlignment="1">
      <alignment horizontal="center" vertical="center"/>
    </xf>
    <xf numFmtId="0" fontId="7" fillId="13" borderId="22" xfId="0" applyFont="1" applyFill="1" applyBorder="1" applyAlignment="1">
      <alignment horizontal="center" vertical="center"/>
    </xf>
    <xf numFmtId="0" fontId="7" fillId="7" borderId="22" xfId="0" applyFont="1" applyFill="1" applyBorder="1" applyAlignment="1">
      <alignment horizontal="center" vertical="center"/>
    </xf>
    <xf numFmtId="0" fontId="7" fillId="6" borderId="25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auto="1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auto="1"/>
        <name val="Arial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border outline="0">
        <top style="medium">
          <color indexed="64"/>
        </top>
      </border>
    </dxf>
  </dxfs>
  <tableStyles count="0" defaultTableStyle="TableStyleMedium2" defaultPivotStyle="PivotStyleMedium9"/>
  <colors>
    <mruColors>
      <color rgb="FFD9E379"/>
      <color rgb="FFEAF7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explosion val="7"/>
          <c:dPt>
            <c:idx val="0"/>
            <c:bubble3D val="0"/>
            <c:explosion val="2"/>
            <c:extLst>
              <c:ext xmlns:c16="http://schemas.microsoft.com/office/drawing/2014/chart" uri="{C3380CC4-5D6E-409C-BE32-E72D297353CC}">
                <c16:uniqueId val="{00000000-B731-4E32-8FF9-25A5C3CD95A6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1-B731-4E32-8FF9-25A5C3CD95A6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2-B731-4E32-8FF9-25A5C3CD95A6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3-B731-4E32-8FF9-25A5C3CD95A6}"/>
              </c:ext>
            </c:extLst>
          </c:dPt>
          <c:dLbls>
            <c:dLbl>
              <c:idx val="0"/>
              <c:layout>
                <c:manualLayout>
                  <c:x val="-5.7733487886599426E-2"/>
                  <c:y val="-0.18171954104726645"/>
                </c:manualLayout>
              </c:layout>
              <c:tx>
                <c:rich>
                  <a:bodyPr/>
                  <a:lstStyle/>
                  <a:p>
                    <a:r>
                      <a:rPr lang="en-US" sz="2000" b="1">
                        <a:solidFill>
                          <a:sysClr val="windowText" lastClr="000000"/>
                        </a:solidFill>
                      </a:rPr>
                      <a:t>import 43.70%</a:t>
                    </a:r>
                    <a:endParaRPr lang="en-US" sz="2000" b="1"/>
                  </a:p>
                </c:rich>
              </c:tx>
              <c:dLblPos val="bestFit"/>
              <c:showLegendKey val="1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B731-4E32-8FF9-25A5C3CD95A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 sz="1600" b="1">
                        <a:solidFill>
                          <a:sysClr val="windowText" lastClr="000000"/>
                        </a:solidFill>
                      </a:rPr>
                      <a:t>export 23.12%</a:t>
                    </a:r>
                    <a:endParaRPr lang="en-US" b="1"/>
                  </a:p>
                </c:rich>
              </c:tx>
              <c:dLblPos val="inEnd"/>
              <c:showLegendKey val="1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B731-4E32-8FF9-25A5C3CD95A6}"/>
                </c:ext>
              </c:extLst>
            </c:dLbl>
            <c:dLbl>
              <c:idx val="3"/>
              <c:layout>
                <c:manualLayout>
                  <c:x val="-3.0608697658056665E-2"/>
                  <c:y val="-2.2850665519664392E-3"/>
                </c:manualLayout>
              </c:layout>
              <c:tx>
                <c:rich>
                  <a:bodyPr/>
                  <a:lstStyle/>
                  <a:p>
                    <a:r>
                      <a:rPr lang="en-US" sz="2000" b="1">
                        <a:solidFill>
                          <a:sysClr val="windowText" lastClr="000000"/>
                        </a:solidFill>
                      </a:rPr>
                      <a:t>export23.12%</a:t>
                    </a:r>
                    <a:endParaRPr lang="en-US" sz="2000" b="1"/>
                  </a:p>
                </c:rich>
              </c:tx>
              <c:dLblPos val="bestFit"/>
              <c:showLegendKey val="1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B731-4E32-8FF9-25A5C3CD95A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 sz="1600" b="1">
                        <a:solidFill>
                          <a:sysClr val="windowText" lastClr="000000"/>
                        </a:solidFill>
                      </a:rPr>
                      <a:t>empty  2.57%</a:t>
                    </a:r>
                    <a:endParaRPr lang="en-US" b="1"/>
                  </a:p>
                </c:rich>
              </c:tx>
              <c:dLblPos val="inEnd"/>
              <c:showLegendKey val="1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B731-4E32-8FF9-25A5C3CD95A6}"/>
                </c:ext>
              </c:extLst>
            </c:dLbl>
            <c:dLbl>
              <c:idx val="5"/>
              <c:layout>
                <c:manualLayout>
                  <c:x val="7.711054595364559E-3"/>
                  <c:y val="-4.2145721937410258E-2"/>
                </c:manualLayout>
              </c:layout>
              <c:tx>
                <c:rich>
                  <a:bodyPr/>
                  <a:lstStyle/>
                  <a:p>
                    <a:r>
                      <a:rPr lang="en-US" sz="1600" b="1">
                        <a:solidFill>
                          <a:sysClr val="windowText" lastClr="000000"/>
                        </a:solidFill>
                      </a:rPr>
                      <a:t>empty 2.57%</a:t>
                    </a:r>
                    <a:endParaRPr lang="en-US" b="1"/>
                  </a:p>
                </c:rich>
              </c:tx>
              <c:dLblPos val="bestFit"/>
              <c:showLegendKey val="1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B731-4E32-8FF9-25A5C3CD95A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 sz="1600" b="1">
                        <a:solidFill>
                          <a:sysClr val="windowText" lastClr="000000"/>
                        </a:solidFill>
                      </a:rPr>
                      <a:t>free slots 30.08%</a:t>
                    </a:r>
                    <a:endParaRPr lang="en-US" b="1"/>
                  </a:p>
                </c:rich>
              </c:tx>
              <c:dLblPos val="inEnd"/>
              <c:showLegendKey val="1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B731-4E32-8FF9-25A5C3CD95A6}"/>
                </c:ext>
              </c:extLst>
            </c:dLbl>
            <c:dLbl>
              <c:idx val="7"/>
              <c:layout>
                <c:manualLayout>
                  <c:x val="1.2556414825579733E-2"/>
                  <c:y val="4.9198537057858358E-2"/>
                </c:manualLayout>
              </c:layout>
              <c:tx>
                <c:rich>
                  <a:bodyPr/>
                  <a:lstStyle/>
                  <a:p>
                    <a:r>
                      <a:rPr lang="en-US" sz="1600" b="1">
                        <a:solidFill>
                          <a:sysClr val="windowText" lastClr="000000"/>
                        </a:solidFill>
                      </a:rPr>
                      <a:t>free slots </a:t>
                    </a:r>
                    <a:r>
                      <a:rPr lang="en-US" sz="1400" b="1">
                        <a:solidFill>
                          <a:sysClr val="windowText" lastClr="000000"/>
                        </a:solidFill>
                      </a:rPr>
                      <a:t>29.14</a:t>
                    </a:r>
                    <a:r>
                      <a:rPr lang="en-US" sz="1800" b="1">
                        <a:solidFill>
                          <a:sysClr val="windowText" lastClr="000000"/>
                        </a:solidFill>
                      </a:rPr>
                      <a:t>%</a:t>
                    </a:r>
                    <a:endParaRPr lang="en-US" sz="1800" b="1"/>
                  </a:p>
                </c:rich>
              </c:tx>
              <c:dLblPos val="bestFit"/>
              <c:showLegendKey val="1"/>
              <c:showVal val="1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B731-4E32-8FF9-25A5C3CD95A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>
                    <a:solidFill>
                      <a:sysClr val="windowText" lastClr="000000"/>
                    </a:solidFill>
                  </a:defRPr>
                </a:pPr>
                <a:endParaRPr lang="en-US"/>
              </a:p>
            </c:txPr>
            <c:dLblPos val="inEnd"/>
            <c:showLegendKey val="1"/>
            <c:showVal val="1"/>
            <c:showCatName val="0"/>
            <c:showSerName val="1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('ساحات داخلية'!$P$32:$P$38,'ساحات داخلية'!$P$42)</c:f>
              <c:numCache>
                <c:formatCode>0.00%</c:formatCode>
                <c:ptCount val="8"/>
                <c:pt idx="0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731-4E32-8FF9-25A5C3CD95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644408</xdr:colOff>
      <xdr:row>44</xdr:row>
      <xdr:rowOff>20922</xdr:rowOff>
    </xdr:from>
    <xdr:to>
      <xdr:col>14</xdr:col>
      <xdr:colOff>597983</xdr:colOff>
      <xdr:row>52</xdr:row>
      <xdr:rowOff>20352</xdr:rowOff>
    </xdr:to>
    <xdr:graphicFrame macro="">
      <xdr:nvGraphicFramePr>
        <xdr:cNvPr id="17" name="Chart 16" descr="internal yard capacity" title="internal yard capacity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76F01D-3A80-4FE8-84A1-39E74A536E34}" name="Table1" displayName="Table1" ref="H7:I24" totalsRowShown="0" headerRowDxfId="0" tableBorderDxfId="2">
  <autoFilter ref="H7:I24" xr:uid="{8376F01D-3A80-4FE8-84A1-39E74A536E34}"/>
  <tableColumns count="2">
    <tableColumn id="1" xr3:uid="{60A2447C-F099-4DA7-B1A8-3627ED129952}" name="Block"/>
    <tableColumn id="2" xr3:uid="{57E9EDA5-3E73-47D0-ABC1-D587FE7EA75E}" name="capacity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54"/>
  <sheetViews>
    <sheetView tabSelected="1" view="pageBreakPreview" zoomScale="85" zoomScaleNormal="85" zoomScaleSheetLayoutView="85" zoomScalePageLayoutView="39" workbookViewId="0">
      <selection activeCell="J5" sqref="J5"/>
    </sheetView>
  </sheetViews>
  <sheetFormatPr defaultColWidth="10.6640625" defaultRowHeight="25" x14ac:dyDescent="0.3"/>
  <cols>
    <col min="1" max="1" width="31.08203125" style="234" bestFit="1" customWidth="1"/>
    <col min="2" max="2" width="12.9140625" style="1" customWidth="1"/>
    <col min="3" max="3" width="10.33203125" style="1" customWidth="1"/>
    <col min="4" max="4" width="11.08203125" style="1" customWidth="1"/>
    <col min="5" max="5" width="11.6640625" style="1" customWidth="1"/>
    <col min="6" max="7" width="13" style="1" customWidth="1"/>
    <col min="8" max="8" width="11.4140625" style="1" customWidth="1"/>
    <col min="9" max="9" width="12.08203125" style="1" bestFit="1" customWidth="1"/>
    <col min="10" max="10" width="13.08203125" style="1" customWidth="1"/>
    <col min="11" max="11" width="14.9140625" style="1" customWidth="1"/>
    <col min="12" max="12" width="14.6640625" style="1" customWidth="1"/>
    <col min="13" max="13" width="10.6640625" style="1"/>
    <col min="14" max="14" width="55" style="1" customWidth="1"/>
    <col min="15" max="15" width="17.9140625" style="1" bestFit="1" customWidth="1"/>
    <col min="16" max="16" width="25.6640625" style="1" customWidth="1"/>
    <col min="17" max="17" width="15.6640625" style="1" customWidth="1"/>
    <col min="18" max="16384" width="10.6640625" style="1"/>
  </cols>
  <sheetData>
    <row r="1" spans="1:18" ht="26.25" customHeight="1" x14ac:dyDescent="0.3">
      <c r="A1" s="269" t="s">
        <v>58</v>
      </c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  <c r="P1" s="270"/>
      <c r="Q1" s="270"/>
      <c r="R1" s="271"/>
    </row>
    <row r="2" spans="1:18" ht="51.75" customHeight="1" thickBot="1" x14ac:dyDescent="0.35">
      <c r="A2" s="272"/>
      <c r="B2" s="273"/>
      <c r="C2" s="273"/>
      <c r="D2" s="273"/>
      <c r="E2" s="273"/>
      <c r="F2" s="273"/>
      <c r="G2" s="273"/>
      <c r="H2" s="273"/>
      <c r="I2" s="273"/>
      <c r="J2" s="273"/>
      <c r="K2" s="273"/>
      <c r="L2" s="273"/>
      <c r="M2" s="273"/>
      <c r="N2" s="273"/>
      <c r="O2" s="273"/>
      <c r="P2" s="273"/>
      <c r="Q2" s="273"/>
      <c r="R2" s="274"/>
    </row>
    <row r="3" spans="1:18" ht="25.5" thickBot="1" x14ac:dyDescent="0.3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</row>
    <row r="4" spans="1:18" ht="25.5" thickBot="1" x14ac:dyDescent="0.35">
      <c r="A4" s="301" t="s">
        <v>4</v>
      </c>
      <c r="B4" s="304" t="s">
        <v>3</v>
      </c>
      <c r="C4" s="5">
        <v>20</v>
      </c>
      <c r="D4" s="6">
        <v>40</v>
      </c>
      <c r="E4" s="5">
        <v>20</v>
      </c>
      <c r="F4" s="6">
        <v>40</v>
      </c>
      <c r="G4" s="301">
        <v>45</v>
      </c>
      <c r="H4" s="306" t="s">
        <v>56</v>
      </c>
      <c r="I4" s="7" t="s">
        <v>31</v>
      </c>
      <c r="J4" s="8" t="s">
        <v>3</v>
      </c>
      <c r="K4" s="8" t="s">
        <v>37</v>
      </c>
      <c r="L4" s="8" t="s">
        <v>33</v>
      </c>
      <c r="M4" s="9"/>
      <c r="N4" s="10" t="s">
        <v>25</v>
      </c>
      <c r="O4" s="11">
        <v>20</v>
      </c>
      <c r="P4" s="11">
        <v>40</v>
      </c>
      <c r="Q4" s="12" t="s">
        <v>56</v>
      </c>
      <c r="R4" s="275"/>
    </row>
    <row r="5" spans="1:18" ht="25.5" thickBot="1" x14ac:dyDescent="0.35">
      <c r="A5" s="303"/>
      <c r="B5" s="305"/>
      <c r="C5" s="13" t="s">
        <v>10</v>
      </c>
      <c r="D5" s="14" t="s">
        <v>10</v>
      </c>
      <c r="E5" s="13" t="s">
        <v>9</v>
      </c>
      <c r="F5" s="14" t="s">
        <v>9</v>
      </c>
      <c r="G5" s="302"/>
      <c r="H5" s="307"/>
      <c r="I5" s="15" t="s">
        <v>56</v>
      </c>
      <c r="J5" s="16" t="s">
        <v>32</v>
      </c>
      <c r="K5" s="16" t="s">
        <v>34</v>
      </c>
      <c r="L5" s="16" t="s">
        <v>34</v>
      </c>
      <c r="M5" s="9"/>
      <c r="N5" s="297" t="s">
        <v>20</v>
      </c>
      <c r="O5" s="299">
        <f>C6+C9+C12+C15+C18+C21+C24+C29+C35+C38+C41+C44+C45+C46+C47+C34</f>
        <v>0</v>
      </c>
      <c r="P5" s="299">
        <f>D6+D9+D12+D15+D18+D21+D24+D29+D35+D38+D41+D44+D45+D46+D47+G6+G9+G12+G15+G18+G21+G24+G29+G35+G38+G41+G44+G46+G47+D34</f>
        <v>0</v>
      </c>
      <c r="Q5" s="329">
        <f>O5+P5*2</f>
        <v>0</v>
      </c>
      <c r="R5" s="275"/>
    </row>
    <row r="6" spans="1:18" x14ac:dyDescent="0.3">
      <c r="A6" s="17" t="s">
        <v>0</v>
      </c>
      <c r="B6" s="308" t="s">
        <v>18</v>
      </c>
      <c r="C6" s="18"/>
      <c r="D6" s="19"/>
      <c r="E6" s="18"/>
      <c r="F6" s="20"/>
      <c r="G6" s="21"/>
      <c r="H6" s="22">
        <f>C6+D6*2+E6+F6*2+G6*2</f>
        <v>0</v>
      </c>
      <c r="I6" s="308">
        <f>H6+H7+H8</f>
        <v>0</v>
      </c>
      <c r="J6" s="333">
        <v>675</v>
      </c>
      <c r="K6" s="330">
        <f>I6/J6</f>
        <v>0</v>
      </c>
      <c r="L6" s="330">
        <f>100%-K6</f>
        <v>1</v>
      </c>
      <c r="M6" s="9"/>
      <c r="N6" s="282"/>
      <c r="O6" s="288"/>
      <c r="P6" s="288"/>
      <c r="Q6" s="278"/>
      <c r="R6" s="275"/>
    </row>
    <row r="7" spans="1:18" x14ac:dyDescent="0.3">
      <c r="A7" s="23" t="s">
        <v>1</v>
      </c>
      <c r="B7" s="309"/>
      <c r="C7" s="24"/>
      <c r="D7" s="25"/>
      <c r="E7" s="24"/>
      <c r="F7" s="26"/>
      <c r="G7" s="27"/>
      <c r="H7" s="28">
        <f t="shared" ref="H7:H47" si="0">C7+D7*2+E7+F7*2+G7*2</f>
        <v>0</v>
      </c>
      <c r="I7" s="309"/>
      <c r="J7" s="334"/>
      <c r="K7" s="331"/>
      <c r="L7" s="331"/>
      <c r="M7" s="9"/>
      <c r="N7" s="283" t="s">
        <v>27</v>
      </c>
      <c r="O7" s="285">
        <f>C7+C10+C13+C16+C19+C22+C26+C31+C36+C39+C42</f>
        <v>0</v>
      </c>
      <c r="P7" s="285">
        <f>D7+D10+D13+D16+D19+D22+D26+D31+D36+D39+D42+G7+G10+G16+G13+G19+G22+G26+G31+G36+G39+G42</f>
        <v>0</v>
      </c>
      <c r="Q7" s="279">
        <f t="shared" ref="Q7" si="1">O7+P7*2</f>
        <v>0</v>
      </c>
      <c r="R7" s="275"/>
    </row>
    <row r="8" spans="1:18" ht="25.5" thickBot="1" x14ac:dyDescent="0.35">
      <c r="A8" s="29" t="s">
        <v>2</v>
      </c>
      <c r="B8" s="310"/>
      <c r="C8" s="30"/>
      <c r="D8" s="31"/>
      <c r="E8" s="30"/>
      <c r="F8" s="32"/>
      <c r="G8" s="33"/>
      <c r="H8" s="34">
        <f t="shared" si="0"/>
        <v>0</v>
      </c>
      <c r="I8" s="310"/>
      <c r="J8" s="335"/>
      <c r="K8" s="332"/>
      <c r="L8" s="332"/>
      <c r="M8" s="9"/>
      <c r="N8" s="284"/>
      <c r="O8" s="286"/>
      <c r="P8" s="286"/>
      <c r="Q8" s="280"/>
      <c r="R8" s="275"/>
    </row>
    <row r="9" spans="1:18" x14ac:dyDescent="0.3">
      <c r="A9" s="35" t="s">
        <v>0</v>
      </c>
      <c r="B9" s="313" t="s">
        <v>5</v>
      </c>
      <c r="C9" s="36"/>
      <c r="D9" s="37"/>
      <c r="E9" s="38"/>
      <c r="F9" s="39"/>
      <c r="G9" s="40"/>
      <c r="H9" s="41">
        <f t="shared" si="0"/>
        <v>0</v>
      </c>
      <c r="I9" s="308">
        <f t="shared" ref="I9" si="2">H9+H10+H11</f>
        <v>0</v>
      </c>
      <c r="J9" s="338">
        <v>840</v>
      </c>
      <c r="K9" s="330">
        <f>I9/J9</f>
        <v>0</v>
      </c>
      <c r="L9" s="330">
        <f>100%-K9</f>
        <v>1</v>
      </c>
      <c r="M9" s="9"/>
      <c r="N9" s="281" t="s">
        <v>22</v>
      </c>
      <c r="O9" s="287">
        <f>C25+C30</f>
        <v>0</v>
      </c>
      <c r="P9" s="287">
        <f>D25+D30</f>
        <v>0</v>
      </c>
      <c r="Q9" s="277">
        <f t="shared" ref="Q9" si="3">O9+P9*2</f>
        <v>0</v>
      </c>
      <c r="R9" s="275"/>
    </row>
    <row r="10" spans="1:18" x14ac:dyDescent="0.3">
      <c r="A10" s="42" t="s">
        <v>1</v>
      </c>
      <c r="B10" s="314"/>
      <c r="C10" s="43"/>
      <c r="D10" s="44"/>
      <c r="E10" s="43"/>
      <c r="F10" s="45"/>
      <c r="G10" s="46"/>
      <c r="H10" s="28">
        <f t="shared" si="0"/>
        <v>0</v>
      </c>
      <c r="I10" s="309"/>
      <c r="J10" s="339"/>
      <c r="K10" s="331"/>
      <c r="L10" s="331"/>
      <c r="M10" s="9"/>
      <c r="N10" s="282"/>
      <c r="O10" s="288"/>
      <c r="P10" s="288"/>
      <c r="Q10" s="278"/>
      <c r="R10" s="275"/>
    </row>
    <row r="11" spans="1:18" ht="25.5" thickBot="1" x14ac:dyDescent="0.35">
      <c r="A11" s="47" t="s">
        <v>2</v>
      </c>
      <c r="B11" s="315"/>
      <c r="C11" s="48"/>
      <c r="D11" s="49"/>
      <c r="E11" s="48"/>
      <c r="F11" s="50"/>
      <c r="G11" s="51"/>
      <c r="H11" s="34">
        <f t="shared" si="0"/>
        <v>0</v>
      </c>
      <c r="I11" s="310"/>
      <c r="J11" s="340"/>
      <c r="K11" s="332"/>
      <c r="L11" s="332"/>
      <c r="M11" s="9"/>
      <c r="N11" s="283" t="s">
        <v>26</v>
      </c>
      <c r="O11" s="285">
        <f>C27+C32</f>
        <v>0</v>
      </c>
      <c r="P11" s="285">
        <f>D27+D32</f>
        <v>0</v>
      </c>
      <c r="Q11" s="279">
        <f t="shared" ref="Q11" si="4">O11+P11*2</f>
        <v>0</v>
      </c>
      <c r="R11" s="275"/>
    </row>
    <row r="12" spans="1:18" x14ac:dyDescent="0.3">
      <c r="A12" s="52" t="s">
        <v>0</v>
      </c>
      <c r="B12" s="320" t="s">
        <v>6</v>
      </c>
      <c r="C12" s="53"/>
      <c r="D12" s="54"/>
      <c r="E12" s="55"/>
      <c r="F12" s="56"/>
      <c r="G12" s="57"/>
      <c r="H12" s="58">
        <f t="shared" si="0"/>
        <v>0</v>
      </c>
      <c r="I12" s="326">
        <f t="shared" ref="I12" si="5">H12+H13+H14</f>
        <v>0</v>
      </c>
      <c r="J12" s="341">
        <v>2100</v>
      </c>
      <c r="K12" s="291">
        <f>I12/J12</f>
        <v>0</v>
      </c>
      <c r="L12" s="291">
        <f>100%-K12</f>
        <v>1</v>
      </c>
      <c r="M12" s="9"/>
      <c r="N12" s="284"/>
      <c r="O12" s="286"/>
      <c r="P12" s="286"/>
      <c r="Q12" s="280"/>
      <c r="R12" s="275"/>
    </row>
    <row r="13" spans="1:18" x14ac:dyDescent="0.3">
      <c r="A13" s="59" t="s">
        <v>1</v>
      </c>
      <c r="B13" s="321"/>
      <c r="C13" s="60"/>
      <c r="D13" s="61"/>
      <c r="E13" s="60"/>
      <c r="F13" s="62"/>
      <c r="G13" s="63"/>
      <c r="H13" s="58">
        <f t="shared" si="0"/>
        <v>0</v>
      </c>
      <c r="I13" s="327"/>
      <c r="J13" s="342"/>
      <c r="K13" s="292"/>
      <c r="L13" s="292"/>
      <c r="M13" s="9"/>
      <c r="N13" s="316" t="s">
        <v>19</v>
      </c>
      <c r="O13" s="318">
        <f>C8+C11+C14+C17+C20+C23+C28+C33+C37+C40+E43</f>
        <v>0</v>
      </c>
      <c r="P13" s="318">
        <f>D8+D11+D14+D17+D20+D23+D28+D33+D37+D40+D43+F43+G8+G11+G14+G17+G20+G23+G28+G33+G37+G40+G43</f>
        <v>0</v>
      </c>
      <c r="Q13" s="336">
        <f t="shared" ref="Q13" si="6">O13+P13*2</f>
        <v>0</v>
      </c>
      <c r="R13" s="275"/>
    </row>
    <row r="14" spans="1:18" ht="27.75" customHeight="1" thickBot="1" x14ac:dyDescent="0.35">
      <c r="A14" s="64" t="s">
        <v>2</v>
      </c>
      <c r="B14" s="322"/>
      <c r="C14" s="65"/>
      <c r="D14" s="66"/>
      <c r="E14" s="65"/>
      <c r="F14" s="67"/>
      <c r="G14" s="68"/>
      <c r="H14" s="69">
        <f t="shared" si="0"/>
        <v>0</v>
      </c>
      <c r="I14" s="328"/>
      <c r="J14" s="343"/>
      <c r="K14" s="293"/>
      <c r="L14" s="293"/>
      <c r="M14" s="9"/>
      <c r="N14" s="317"/>
      <c r="O14" s="319"/>
      <c r="P14" s="319"/>
      <c r="Q14" s="337"/>
      <c r="R14" s="275"/>
    </row>
    <row r="15" spans="1:18" x14ac:dyDescent="0.3">
      <c r="A15" s="70" t="s">
        <v>0</v>
      </c>
      <c r="B15" s="323" t="s">
        <v>7</v>
      </c>
      <c r="C15" s="71"/>
      <c r="D15" s="72"/>
      <c r="E15" s="73"/>
      <c r="F15" s="74"/>
      <c r="G15" s="75"/>
      <c r="H15" s="76">
        <f t="shared" si="0"/>
        <v>0</v>
      </c>
      <c r="I15" s="384">
        <f t="shared" ref="I15" si="7">H15+H16+H17</f>
        <v>0</v>
      </c>
      <c r="J15" s="400">
        <v>2100</v>
      </c>
      <c r="K15" s="294">
        <f>I15/J15</f>
        <v>0</v>
      </c>
      <c r="L15" s="294">
        <f>100%-K15</f>
        <v>1</v>
      </c>
      <c r="M15" s="9"/>
      <c r="N15" s="406" t="s">
        <v>21</v>
      </c>
      <c r="O15" s="289">
        <f>E6+E9+E12+E15+E18+E21+E24+E29+E35+E38+E41+E45+E44</f>
        <v>0</v>
      </c>
      <c r="P15" s="289">
        <f>F6+F9+F12+F15+F18+F21+F24+F29+F35+F38+F41+F44+F45</f>
        <v>0</v>
      </c>
      <c r="Q15" s="344">
        <f t="shared" ref="Q15" si="8">O15+P15*2</f>
        <v>0</v>
      </c>
      <c r="R15" s="275"/>
    </row>
    <row r="16" spans="1:18" ht="25.5" thickBot="1" x14ac:dyDescent="0.35">
      <c r="A16" s="77" t="s">
        <v>1</v>
      </c>
      <c r="B16" s="324"/>
      <c r="C16" s="78"/>
      <c r="D16" s="79"/>
      <c r="E16" s="80"/>
      <c r="F16" s="79"/>
      <c r="G16" s="81"/>
      <c r="H16" s="82">
        <f t="shared" si="0"/>
        <v>0</v>
      </c>
      <c r="I16" s="385"/>
      <c r="J16" s="401"/>
      <c r="K16" s="295"/>
      <c r="L16" s="295"/>
      <c r="M16" s="9"/>
      <c r="N16" s="407"/>
      <c r="O16" s="290"/>
      <c r="P16" s="290"/>
      <c r="Q16" s="345"/>
      <c r="R16" s="275"/>
    </row>
    <row r="17" spans="1:18" ht="25.5" thickBot="1" x14ac:dyDescent="0.35">
      <c r="A17" s="83" t="s">
        <v>2</v>
      </c>
      <c r="B17" s="325"/>
      <c r="C17" s="84"/>
      <c r="D17" s="85"/>
      <c r="E17" s="86"/>
      <c r="F17" s="85"/>
      <c r="G17" s="87"/>
      <c r="H17" s="88">
        <f t="shared" si="0"/>
        <v>0</v>
      </c>
      <c r="I17" s="386"/>
      <c r="J17" s="402"/>
      <c r="K17" s="296"/>
      <c r="L17" s="296"/>
      <c r="M17" s="9"/>
      <c r="N17" s="297" t="s">
        <v>49</v>
      </c>
      <c r="O17" s="299">
        <f>C44+C45+C46+C47+E44+E45+E46+E47</f>
        <v>0</v>
      </c>
      <c r="P17" s="299">
        <f>D44+D45+D46+D47+G44+G45+G46+G47</f>
        <v>0</v>
      </c>
      <c r="Q17" s="329">
        <f>O17+P17*2</f>
        <v>0</v>
      </c>
      <c r="R17" s="89"/>
    </row>
    <row r="18" spans="1:18" ht="25.5" thickBot="1" x14ac:dyDescent="0.35">
      <c r="A18" s="90" t="s">
        <v>0</v>
      </c>
      <c r="B18" s="311" t="s">
        <v>8</v>
      </c>
      <c r="C18" s="91"/>
      <c r="D18" s="92"/>
      <c r="E18" s="93"/>
      <c r="F18" s="94"/>
      <c r="G18" s="95"/>
      <c r="H18" s="96">
        <f t="shared" si="0"/>
        <v>0</v>
      </c>
      <c r="I18" s="387">
        <f>H18+H19+H20</f>
        <v>0</v>
      </c>
      <c r="J18" s="403">
        <v>2040</v>
      </c>
      <c r="K18" s="330">
        <f>I18/J18</f>
        <v>0</v>
      </c>
      <c r="L18" s="330">
        <f>100%-K18</f>
        <v>1</v>
      </c>
      <c r="M18" s="9"/>
      <c r="N18" s="298"/>
      <c r="O18" s="300"/>
      <c r="P18" s="300"/>
      <c r="Q18" s="346"/>
      <c r="R18" s="89"/>
    </row>
    <row r="19" spans="1:18" ht="25.5" thickBot="1" x14ac:dyDescent="0.35">
      <c r="A19" s="97" t="s">
        <v>1</v>
      </c>
      <c r="B19" s="311"/>
      <c r="C19" s="98"/>
      <c r="D19" s="99"/>
      <c r="E19" s="100"/>
      <c r="F19" s="101"/>
      <c r="G19" s="102"/>
      <c r="H19" s="103">
        <f t="shared" si="0"/>
        <v>0</v>
      </c>
      <c r="I19" s="311"/>
      <c r="J19" s="404"/>
      <c r="K19" s="331"/>
      <c r="L19" s="331"/>
      <c r="M19" s="9"/>
      <c r="N19" s="104"/>
      <c r="O19" s="104"/>
      <c r="P19" s="104"/>
      <c r="Q19" s="104"/>
      <c r="R19" s="276"/>
    </row>
    <row r="20" spans="1:18" ht="25.5" thickBot="1" x14ac:dyDescent="0.35">
      <c r="A20" s="97" t="s">
        <v>2</v>
      </c>
      <c r="B20" s="312"/>
      <c r="C20" s="98"/>
      <c r="D20" s="99"/>
      <c r="E20" s="100"/>
      <c r="F20" s="101"/>
      <c r="G20" s="105"/>
      <c r="H20" s="106">
        <f t="shared" si="0"/>
        <v>0</v>
      </c>
      <c r="I20" s="312"/>
      <c r="J20" s="405"/>
      <c r="K20" s="332"/>
      <c r="L20" s="332"/>
      <c r="M20" s="9"/>
      <c r="N20" s="107" t="s">
        <v>24</v>
      </c>
      <c r="O20" s="108">
        <v>20</v>
      </c>
      <c r="P20" s="108">
        <v>40</v>
      </c>
      <c r="Q20" s="109" t="s">
        <v>56</v>
      </c>
      <c r="R20" s="275"/>
    </row>
    <row r="21" spans="1:18" ht="25.5" thickBot="1" x14ac:dyDescent="0.35">
      <c r="A21" s="110" t="s">
        <v>0</v>
      </c>
      <c r="B21" s="299" t="s">
        <v>13</v>
      </c>
      <c r="C21" s="111"/>
      <c r="D21" s="112"/>
      <c r="E21" s="113"/>
      <c r="F21" s="114"/>
      <c r="G21" s="115"/>
      <c r="H21" s="116">
        <f t="shared" si="0"/>
        <v>0</v>
      </c>
      <c r="I21" s="299">
        <f t="shared" ref="I21" si="9">H21+H22+H23</f>
        <v>0</v>
      </c>
      <c r="J21" s="297">
        <v>2130</v>
      </c>
      <c r="K21" s="330">
        <f>I21/J21</f>
        <v>0</v>
      </c>
      <c r="L21" s="330">
        <f>100%-K21</f>
        <v>1</v>
      </c>
      <c r="M21" s="9"/>
      <c r="N21" s="117" t="s">
        <v>23</v>
      </c>
      <c r="O21" s="117">
        <f>O9+O11</f>
        <v>0</v>
      </c>
      <c r="P21" s="117">
        <f>P9+P11</f>
        <v>0</v>
      </c>
      <c r="Q21" s="117">
        <f>O21+P21*2</f>
        <v>0</v>
      </c>
      <c r="R21" s="275"/>
    </row>
    <row r="22" spans="1:18" ht="25.5" thickBot="1" x14ac:dyDescent="0.35">
      <c r="A22" s="118" t="s">
        <v>1</v>
      </c>
      <c r="B22" s="408"/>
      <c r="C22" s="119"/>
      <c r="D22" s="120"/>
      <c r="E22" s="121"/>
      <c r="F22" s="122"/>
      <c r="G22" s="123"/>
      <c r="H22" s="124">
        <f t="shared" si="0"/>
        <v>0</v>
      </c>
      <c r="I22" s="408"/>
      <c r="J22" s="409"/>
      <c r="K22" s="331"/>
      <c r="L22" s="331"/>
      <c r="M22" s="9"/>
      <c r="N22" s="9"/>
      <c r="O22" s="9"/>
      <c r="P22" s="9"/>
      <c r="Q22" s="9"/>
      <c r="R22" s="89"/>
    </row>
    <row r="23" spans="1:18" ht="25.5" thickBot="1" x14ac:dyDescent="0.35">
      <c r="A23" s="118" t="s">
        <v>2</v>
      </c>
      <c r="B23" s="300"/>
      <c r="C23" s="119"/>
      <c r="D23" s="120"/>
      <c r="E23" s="125"/>
      <c r="F23" s="126"/>
      <c r="G23" s="127"/>
      <c r="H23" s="128">
        <f t="shared" si="0"/>
        <v>0</v>
      </c>
      <c r="I23" s="300"/>
      <c r="J23" s="298"/>
      <c r="K23" s="332"/>
      <c r="L23" s="332"/>
      <c r="M23" s="9"/>
      <c r="N23" s="355" t="s">
        <v>48</v>
      </c>
      <c r="O23" s="129" t="s">
        <v>38</v>
      </c>
      <c r="P23" s="129" t="s">
        <v>40</v>
      </c>
      <c r="Q23" s="129" t="s">
        <v>42</v>
      </c>
      <c r="R23" s="130"/>
    </row>
    <row r="24" spans="1:18" ht="25.5" thickBot="1" x14ac:dyDescent="0.35">
      <c r="A24" s="131" t="s">
        <v>0</v>
      </c>
      <c r="B24" s="418" t="s">
        <v>10</v>
      </c>
      <c r="C24" s="132"/>
      <c r="D24" s="133"/>
      <c r="E24" s="132"/>
      <c r="F24" s="134"/>
      <c r="G24" s="135"/>
      <c r="H24" s="136">
        <f t="shared" si="0"/>
        <v>0</v>
      </c>
      <c r="I24" s="418">
        <f>H24+H25+H26+H27+H28</f>
        <v>0</v>
      </c>
      <c r="J24" s="428">
        <v>1644</v>
      </c>
      <c r="K24" s="357">
        <f>I24/J24</f>
        <v>0</v>
      </c>
      <c r="L24" s="357">
        <f>100%-K24</f>
        <v>1</v>
      </c>
      <c r="M24" s="9"/>
      <c r="N24" s="356"/>
      <c r="O24" s="137" t="s">
        <v>39</v>
      </c>
      <c r="P24" s="138" t="s">
        <v>41</v>
      </c>
      <c r="Q24" s="137" t="s">
        <v>41</v>
      </c>
      <c r="R24" s="130"/>
    </row>
    <row r="25" spans="1:18" ht="28.5" thickBot="1" x14ac:dyDescent="0.35">
      <c r="A25" s="139" t="s">
        <v>12</v>
      </c>
      <c r="B25" s="427"/>
      <c r="C25" s="140"/>
      <c r="D25" s="141"/>
      <c r="E25" s="140"/>
      <c r="F25" s="142"/>
      <c r="G25" s="135"/>
      <c r="H25" s="136">
        <f t="shared" si="0"/>
        <v>0</v>
      </c>
      <c r="I25" s="427"/>
      <c r="J25" s="429"/>
      <c r="K25" s="358"/>
      <c r="L25" s="358"/>
      <c r="M25" s="9"/>
      <c r="N25" s="143" t="s">
        <v>30</v>
      </c>
      <c r="O25" s="117">
        <v>768</v>
      </c>
      <c r="P25" s="144">
        <f>Q21/O25</f>
        <v>0</v>
      </c>
      <c r="Q25" s="144">
        <f>100%-P25</f>
        <v>1</v>
      </c>
      <c r="R25" s="130"/>
    </row>
    <row r="26" spans="1:18" x14ac:dyDescent="0.3">
      <c r="A26" s="139" t="s">
        <v>1</v>
      </c>
      <c r="B26" s="427"/>
      <c r="C26" s="140"/>
      <c r="D26" s="141"/>
      <c r="E26" s="140"/>
      <c r="F26" s="142"/>
      <c r="G26" s="145"/>
      <c r="H26" s="146">
        <f t="shared" si="0"/>
        <v>0</v>
      </c>
      <c r="I26" s="427"/>
      <c r="J26" s="429"/>
      <c r="K26" s="358"/>
      <c r="L26" s="358"/>
      <c r="M26" s="9"/>
      <c r="N26" s="104"/>
      <c r="O26" s="104"/>
      <c r="P26" s="104"/>
      <c r="Q26" s="104"/>
      <c r="R26" s="130"/>
    </row>
    <row r="27" spans="1:18" x14ac:dyDescent="0.3">
      <c r="A27" s="139" t="s">
        <v>11</v>
      </c>
      <c r="B27" s="427"/>
      <c r="C27" s="140"/>
      <c r="D27" s="141"/>
      <c r="E27" s="140"/>
      <c r="F27" s="142"/>
      <c r="G27" s="145"/>
      <c r="H27" s="146">
        <f t="shared" si="0"/>
        <v>0</v>
      </c>
      <c r="I27" s="427"/>
      <c r="J27" s="429"/>
      <c r="K27" s="358"/>
      <c r="L27" s="358"/>
      <c r="M27" s="9"/>
      <c r="N27" s="104"/>
      <c r="O27" s="104"/>
      <c r="P27" s="104"/>
      <c r="Q27" s="104"/>
      <c r="R27" s="130"/>
    </row>
    <row r="28" spans="1:18" ht="25.5" thickBot="1" x14ac:dyDescent="0.35">
      <c r="A28" s="139" t="s">
        <v>2</v>
      </c>
      <c r="B28" s="419"/>
      <c r="C28" s="147"/>
      <c r="D28" s="148"/>
      <c r="E28" s="147"/>
      <c r="F28" s="149"/>
      <c r="G28" s="150"/>
      <c r="H28" s="151">
        <f t="shared" si="0"/>
        <v>0</v>
      </c>
      <c r="I28" s="419"/>
      <c r="J28" s="430"/>
      <c r="K28" s="359"/>
      <c r="L28" s="359"/>
      <c r="M28" s="9"/>
      <c r="N28" s="104"/>
      <c r="O28" s="104"/>
      <c r="P28" s="104"/>
      <c r="Q28" s="104"/>
      <c r="R28" s="130"/>
    </row>
    <row r="29" spans="1:18" x14ac:dyDescent="0.3">
      <c r="A29" s="152" t="s">
        <v>0</v>
      </c>
      <c r="B29" s="424" t="s">
        <v>17</v>
      </c>
      <c r="C29" s="153"/>
      <c r="D29" s="154"/>
      <c r="E29" s="155"/>
      <c r="F29" s="156"/>
      <c r="G29" s="153"/>
      <c r="H29" s="157">
        <f t="shared" si="0"/>
        <v>0</v>
      </c>
      <c r="I29" s="308">
        <f>H29+H30+H31+H32+H33</f>
        <v>0</v>
      </c>
      <c r="J29" s="338">
        <v>176</v>
      </c>
      <c r="K29" s="397">
        <f>I29/J29</f>
        <v>0</v>
      </c>
      <c r="L29" s="397">
        <f>100%-K29</f>
        <v>1</v>
      </c>
      <c r="M29" s="9"/>
      <c r="N29" s="388" t="s">
        <v>36</v>
      </c>
      <c r="O29" s="389"/>
      <c r="P29" s="390"/>
      <c r="Q29" s="158"/>
      <c r="R29" s="130"/>
    </row>
    <row r="30" spans="1:18" x14ac:dyDescent="0.3">
      <c r="A30" s="159" t="s">
        <v>12</v>
      </c>
      <c r="B30" s="425"/>
      <c r="C30" s="40"/>
      <c r="D30" s="160"/>
      <c r="E30" s="161"/>
      <c r="F30" s="39"/>
      <c r="G30" s="40"/>
      <c r="H30" s="162">
        <f t="shared" si="0"/>
        <v>0</v>
      </c>
      <c r="I30" s="309"/>
      <c r="J30" s="339"/>
      <c r="K30" s="398"/>
      <c r="L30" s="398"/>
      <c r="M30" s="9"/>
      <c r="N30" s="391"/>
      <c r="O30" s="392"/>
      <c r="P30" s="393"/>
      <c r="Q30" s="158"/>
      <c r="R30" s="130"/>
    </row>
    <row r="31" spans="1:18" ht="25.5" thickBot="1" x14ac:dyDescent="0.35">
      <c r="A31" s="159" t="s">
        <v>1</v>
      </c>
      <c r="B31" s="425"/>
      <c r="C31" s="40"/>
      <c r="D31" s="160"/>
      <c r="E31" s="161"/>
      <c r="F31" s="39"/>
      <c r="G31" s="40"/>
      <c r="H31" s="162">
        <f t="shared" si="0"/>
        <v>0</v>
      </c>
      <c r="I31" s="309"/>
      <c r="J31" s="339"/>
      <c r="K31" s="398"/>
      <c r="L31" s="398"/>
      <c r="M31" s="9"/>
      <c r="N31" s="394"/>
      <c r="O31" s="395"/>
      <c r="P31" s="396"/>
      <c r="Q31" s="158"/>
      <c r="R31" s="130"/>
    </row>
    <row r="32" spans="1:18" x14ac:dyDescent="0.3">
      <c r="A32" s="163" t="s">
        <v>11</v>
      </c>
      <c r="B32" s="425"/>
      <c r="C32" s="46"/>
      <c r="D32" s="164"/>
      <c r="E32" s="165"/>
      <c r="F32" s="45"/>
      <c r="G32" s="46"/>
      <c r="H32" s="166">
        <f t="shared" si="0"/>
        <v>0</v>
      </c>
      <c r="I32" s="309"/>
      <c r="J32" s="339"/>
      <c r="K32" s="398"/>
      <c r="L32" s="398"/>
      <c r="M32" s="9"/>
      <c r="N32" s="363" t="s">
        <v>28</v>
      </c>
      <c r="O32" s="382">
        <f>Q5+Q9+Q17</f>
        <v>0</v>
      </c>
      <c r="P32" s="412">
        <f>O32/12974</f>
        <v>0</v>
      </c>
      <c r="Q32" s="158"/>
      <c r="R32" s="130"/>
    </row>
    <row r="33" spans="1:18" ht="25.5" thickBot="1" x14ac:dyDescent="0.35">
      <c r="A33" s="163" t="s">
        <v>2</v>
      </c>
      <c r="B33" s="426"/>
      <c r="C33" s="237"/>
      <c r="D33" s="238"/>
      <c r="E33" s="239"/>
      <c r="F33" s="240"/>
      <c r="G33" s="237"/>
      <c r="H33" s="241">
        <f t="shared" si="0"/>
        <v>0</v>
      </c>
      <c r="I33" s="310"/>
      <c r="J33" s="340"/>
      <c r="K33" s="399"/>
      <c r="L33" s="399"/>
      <c r="M33" s="9"/>
      <c r="N33" s="364"/>
      <c r="O33" s="383"/>
      <c r="P33" s="413"/>
      <c r="Q33" s="158"/>
      <c r="R33" s="130"/>
    </row>
    <row r="34" spans="1:18" ht="35.5" thickBot="1" x14ac:dyDescent="0.35">
      <c r="A34" s="167" t="s">
        <v>52</v>
      </c>
      <c r="B34" s="437" t="s">
        <v>14</v>
      </c>
      <c r="C34" s="248"/>
      <c r="D34" s="249"/>
      <c r="E34" s="248"/>
      <c r="F34" s="249"/>
      <c r="G34" s="248"/>
      <c r="H34" s="253">
        <f>C34+D34*2+E34+F34*2+G34*2</f>
        <v>0</v>
      </c>
      <c r="I34" s="440">
        <f>H34+H35+H36+H37+H38+H39+H40</f>
        <v>0</v>
      </c>
      <c r="J34" s="440">
        <f>700</f>
        <v>700</v>
      </c>
      <c r="K34" s="360">
        <f>I34/J34</f>
        <v>0</v>
      </c>
      <c r="L34" s="360">
        <f>100%-K34</f>
        <v>1</v>
      </c>
      <c r="M34" s="9"/>
      <c r="N34" s="104"/>
      <c r="O34" s="235"/>
      <c r="P34" s="236"/>
      <c r="Q34" s="104"/>
      <c r="R34" s="130"/>
    </row>
    <row r="35" spans="1:18" x14ac:dyDescent="0.3">
      <c r="A35" s="167" t="s">
        <v>0</v>
      </c>
      <c r="B35" s="438"/>
      <c r="C35" s="250"/>
      <c r="D35" s="169"/>
      <c r="E35" s="250"/>
      <c r="F35" s="169"/>
      <c r="G35" s="250"/>
      <c r="H35" s="170">
        <f t="shared" si="0"/>
        <v>0</v>
      </c>
      <c r="I35" s="441"/>
      <c r="J35" s="441"/>
      <c r="K35" s="361"/>
      <c r="L35" s="361"/>
      <c r="M35" s="9"/>
      <c r="N35" s="418" t="s">
        <v>29</v>
      </c>
      <c r="O35" s="351">
        <f>Q7+Q11+Q13</f>
        <v>0</v>
      </c>
      <c r="P35" s="353">
        <f>O35/12974</f>
        <v>0</v>
      </c>
      <c r="Q35" s="158"/>
      <c r="R35" s="130"/>
    </row>
    <row r="36" spans="1:18" ht="25.5" thickBot="1" x14ac:dyDescent="0.35">
      <c r="A36" s="168" t="s">
        <v>1</v>
      </c>
      <c r="B36" s="438"/>
      <c r="C36" s="250"/>
      <c r="D36" s="169"/>
      <c r="E36" s="250"/>
      <c r="F36" s="169"/>
      <c r="G36" s="250"/>
      <c r="H36" s="170">
        <f t="shared" si="0"/>
        <v>0</v>
      </c>
      <c r="I36" s="441"/>
      <c r="J36" s="441"/>
      <c r="K36" s="361"/>
      <c r="L36" s="361"/>
      <c r="M36" s="9"/>
      <c r="N36" s="419"/>
      <c r="O36" s="352"/>
      <c r="P36" s="354"/>
      <c r="Q36" s="104"/>
      <c r="R36" s="130"/>
    </row>
    <row r="37" spans="1:18" ht="25.5" thickBot="1" x14ac:dyDescent="0.35">
      <c r="A37" s="168" t="s">
        <v>2</v>
      </c>
      <c r="B37" s="439"/>
      <c r="C37" s="251"/>
      <c r="D37" s="252"/>
      <c r="E37" s="251"/>
      <c r="F37" s="252"/>
      <c r="G37" s="251"/>
      <c r="H37" s="254">
        <f>C37+D37*2+E37+F37*2+G37*2</f>
        <v>0</v>
      </c>
      <c r="I37" s="441"/>
      <c r="J37" s="441"/>
      <c r="K37" s="361"/>
      <c r="L37" s="361"/>
      <c r="M37" s="9"/>
      <c r="N37" s="374" t="s">
        <v>35</v>
      </c>
      <c r="O37" s="420">
        <f>Q15</f>
        <v>0</v>
      </c>
      <c r="P37" s="422">
        <f>O37/12974</f>
        <v>0</v>
      </c>
      <c r="Q37" s="104"/>
      <c r="R37" s="130"/>
    </row>
    <row r="38" spans="1:18" ht="25.5" thickBot="1" x14ac:dyDescent="0.35">
      <c r="A38" s="171" t="s">
        <v>0</v>
      </c>
      <c r="B38" s="435" t="s">
        <v>15</v>
      </c>
      <c r="C38" s="242"/>
      <c r="D38" s="243"/>
      <c r="E38" s="244"/>
      <c r="F38" s="245"/>
      <c r="G38" s="246"/>
      <c r="H38" s="247">
        <f t="shared" si="0"/>
        <v>0</v>
      </c>
      <c r="I38" s="441"/>
      <c r="J38" s="441"/>
      <c r="K38" s="361"/>
      <c r="L38" s="361"/>
      <c r="M38" s="9"/>
      <c r="N38" s="375"/>
      <c r="O38" s="421"/>
      <c r="P38" s="423"/>
      <c r="Q38" s="104"/>
      <c r="R38" s="130"/>
    </row>
    <row r="39" spans="1:18" ht="25.5" thickBot="1" x14ac:dyDescent="0.35">
      <c r="A39" s="172" t="s">
        <v>1</v>
      </c>
      <c r="B39" s="436"/>
      <c r="C39" s="173"/>
      <c r="D39" s="174"/>
      <c r="E39" s="175"/>
      <c r="F39" s="176"/>
      <c r="G39" s="177"/>
      <c r="H39" s="178">
        <f t="shared" si="0"/>
        <v>0</v>
      </c>
      <c r="I39" s="441"/>
      <c r="J39" s="441"/>
      <c r="K39" s="361"/>
      <c r="L39" s="361"/>
      <c r="M39" s="9"/>
      <c r="N39" s="104"/>
      <c r="O39" s="104"/>
      <c r="P39" s="179"/>
      <c r="Q39" s="104"/>
      <c r="R39" s="130"/>
    </row>
    <row r="40" spans="1:18" ht="27" customHeight="1" thickBot="1" x14ac:dyDescent="0.35">
      <c r="A40" s="180" t="s">
        <v>2</v>
      </c>
      <c r="B40" s="436"/>
      <c r="C40" s="181"/>
      <c r="D40" s="182"/>
      <c r="E40" s="183"/>
      <c r="F40" s="184"/>
      <c r="G40" s="185"/>
      <c r="H40" s="186">
        <f t="shared" si="0"/>
        <v>0</v>
      </c>
      <c r="I40" s="442"/>
      <c r="J40" s="442"/>
      <c r="K40" s="362"/>
      <c r="L40" s="362"/>
      <c r="M40" s="9"/>
      <c r="N40" s="414" t="s">
        <v>53</v>
      </c>
      <c r="O40" s="416">
        <f>O32+O35+O37</f>
        <v>0</v>
      </c>
      <c r="P40" s="410">
        <f>O40/12974</f>
        <v>0</v>
      </c>
      <c r="Q40" s="104"/>
      <c r="R40" s="130"/>
    </row>
    <row r="41" spans="1:18" ht="27" customHeight="1" thickBot="1" x14ac:dyDescent="0.35">
      <c r="A41" s="187" t="s">
        <v>0</v>
      </c>
      <c r="B41" s="431" t="s">
        <v>16</v>
      </c>
      <c r="C41" s="188"/>
      <c r="D41" s="189"/>
      <c r="E41" s="190"/>
      <c r="F41" s="191"/>
      <c r="G41" s="192"/>
      <c r="H41" s="193">
        <f t="shared" si="0"/>
        <v>0</v>
      </c>
      <c r="I41" s="431">
        <f>H41+H42+H43</f>
        <v>0</v>
      </c>
      <c r="J41" s="433">
        <v>1013</v>
      </c>
      <c r="K41" s="371">
        <f>I41/J41</f>
        <v>0</v>
      </c>
      <c r="L41" s="371">
        <f>100%-K41</f>
        <v>1</v>
      </c>
      <c r="M41" s="9"/>
      <c r="N41" s="415"/>
      <c r="O41" s="417"/>
      <c r="P41" s="411"/>
      <c r="Q41" s="104"/>
      <c r="R41" s="130"/>
    </row>
    <row r="42" spans="1:18" ht="35.5" thickBot="1" x14ac:dyDescent="0.35">
      <c r="A42" s="194" t="s">
        <v>1</v>
      </c>
      <c r="B42" s="432"/>
      <c r="C42" s="195"/>
      <c r="D42" s="196"/>
      <c r="E42" s="197"/>
      <c r="F42" s="198"/>
      <c r="G42" s="199"/>
      <c r="H42" s="200">
        <f t="shared" si="0"/>
        <v>0</v>
      </c>
      <c r="I42" s="432"/>
      <c r="J42" s="434"/>
      <c r="K42" s="372"/>
      <c r="L42" s="372"/>
      <c r="M42" s="9"/>
      <c r="N42" s="201" t="s">
        <v>54</v>
      </c>
      <c r="O42" s="202">
        <f>12974-O40</f>
        <v>12974</v>
      </c>
      <c r="P42" s="203">
        <f>100%-P40</f>
        <v>1</v>
      </c>
      <c r="Q42" s="104"/>
      <c r="R42" s="130"/>
    </row>
    <row r="43" spans="1:18" ht="25.5" thickBot="1" x14ac:dyDescent="0.35">
      <c r="A43" s="204" t="s">
        <v>2</v>
      </c>
      <c r="B43" s="432"/>
      <c r="C43" s="205"/>
      <c r="D43" s="206"/>
      <c r="E43" s="207"/>
      <c r="F43" s="208"/>
      <c r="G43" s="209"/>
      <c r="H43" s="210">
        <f t="shared" si="0"/>
        <v>0</v>
      </c>
      <c r="I43" s="290"/>
      <c r="J43" s="407"/>
      <c r="K43" s="373"/>
      <c r="L43" s="373"/>
      <c r="M43" s="9"/>
      <c r="N43" s="347" t="s">
        <v>55</v>
      </c>
      <c r="O43" s="347">
        <f>O40+O42</f>
        <v>12974</v>
      </c>
      <c r="P43" s="349">
        <f>P40+P42</f>
        <v>1</v>
      </c>
      <c r="Q43" s="104"/>
      <c r="R43" s="130"/>
    </row>
    <row r="44" spans="1:18" ht="28.5" thickBot="1" x14ac:dyDescent="0.35">
      <c r="A44" s="211" t="s">
        <v>0</v>
      </c>
      <c r="B44" s="212" t="s">
        <v>43</v>
      </c>
      <c r="C44" s="213"/>
      <c r="D44" s="214"/>
      <c r="E44" s="215"/>
      <c r="F44" s="216"/>
      <c r="G44" s="217"/>
      <c r="H44" s="217">
        <f t="shared" si="0"/>
        <v>0</v>
      </c>
      <c r="I44" s="365">
        <f>H44+H45+H46+H47</f>
        <v>0</v>
      </c>
      <c r="J44" s="368" t="s">
        <v>45</v>
      </c>
      <c r="K44" s="369"/>
      <c r="L44" s="370"/>
      <c r="M44" s="9"/>
      <c r="N44" s="348"/>
      <c r="O44" s="348"/>
      <c r="P44" s="350"/>
      <c r="Q44" s="104"/>
      <c r="R44" s="130"/>
    </row>
    <row r="45" spans="1:18" ht="28" x14ac:dyDescent="0.3">
      <c r="A45" s="218" t="s">
        <v>0</v>
      </c>
      <c r="B45" s="219" t="s">
        <v>50</v>
      </c>
      <c r="C45" s="220"/>
      <c r="D45" s="221"/>
      <c r="E45" s="222"/>
      <c r="F45" s="223"/>
      <c r="G45" s="224"/>
      <c r="H45" s="224">
        <f t="shared" ref="H45" si="10">C45+D45*2+E45+F45*2+G45*2</f>
        <v>0</v>
      </c>
      <c r="I45" s="366"/>
      <c r="J45" s="379" t="s">
        <v>46</v>
      </c>
      <c r="K45" s="380"/>
      <c r="L45" s="381"/>
      <c r="M45" s="9"/>
      <c r="N45" s="9"/>
      <c r="O45" s="9"/>
      <c r="P45" s="9"/>
      <c r="Q45" s="104"/>
      <c r="R45" s="130"/>
    </row>
    <row r="46" spans="1:18" ht="26.25" customHeight="1" x14ac:dyDescent="0.3">
      <c r="A46" s="225" t="s">
        <v>0</v>
      </c>
      <c r="B46" s="219" t="s">
        <v>51</v>
      </c>
      <c r="C46" s="220"/>
      <c r="D46" s="221"/>
      <c r="E46" s="222"/>
      <c r="F46" s="223"/>
      <c r="G46" s="224"/>
      <c r="H46" s="224">
        <f t="shared" si="0"/>
        <v>0</v>
      </c>
      <c r="I46" s="366"/>
      <c r="J46" s="379" t="s">
        <v>47</v>
      </c>
      <c r="K46" s="380"/>
      <c r="L46" s="381"/>
      <c r="M46" s="9"/>
      <c r="N46" s="9"/>
      <c r="O46" s="9"/>
      <c r="P46" s="9"/>
      <c r="Q46" s="104"/>
      <c r="R46" s="130"/>
    </row>
    <row r="47" spans="1:18" ht="27" customHeight="1" thickBot="1" x14ac:dyDescent="0.35">
      <c r="A47" s="226" t="s">
        <v>0</v>
      </c>
      <c r="B47" s="227" t="s">
        <v>44</v>
      </c>
      <c r="C47" s="228"/>
      <c r="D47" s="229"/>
      <c r="E47" s="230"/>
      <c r="F47" s="231"/>
      <c r="G47" s="232"/>
      <c r="H47" s="232">
        <f t="shared" si="0"/>
        <v>0</v>
      </c>
      <c r="I47" s="367"/>
      <c r="J47" s="376"/>
      <c r="K47" s="377"/>
      <c r="L47" s="378"/>
      <c r="M47" s="9"/>
      <c r="N47" s="9"/>
      <c r="O47" s="9"/>
      <c r="P47" s="9"/>
      <c r="Q47" s="104"/>
      <c r="R47" s="130"/>
    </row>
    <row r="48" spans="1:18" x14ac:dyDescent="0.3">
      <c r="A48" s="233"/>
      <c r="B48" s="104"/>
      <c r="C48" s="104"/>
      <c r="D48" s="104"/>
      <c r="E48" s="104"/>
      <c r="F48" s="104"/>
      <c r="G48" s="104"/>
      <c r="H48" s="104"/>
      <c r="I48" s="104"/>
      <c r="J48" s="104"/>
      <c r="K48" s="179"/>
      <c r="L48" s="179"/>
      <c r="M48" s="9"/>
      <c r="N48" s="9"/>
      <c r="O48" s="9"/>
      <c r="P48" s="9"/>
      <c r="Q48" s="104"/>
      <c r="R48" s="130"/>
    </row>
    <row r="49" spans="1:18" x14ac:dyDescent="0.3">
      <c r="A49" s="233"/>
      <c r="B49" s="104"/>
      <c r="C49" s="104"/>
      <c r="D49" s="104"/>
      <c r="E49" s="104"/>
      <c r="F49" s="104"/>
      <c r="G49" s="104"/>
      <c r="H49" s="104"/>
      <c r="I49" s="104"/>
      <c r="J49" s="104"/>
      <c r="K49" s="179"/>
      <c r="L49" s="179"/>
      <c r="M49" s="9"/>
      <c r="N49" s="9"/>
      <c r="O49" s="9"/>
      <c r="P49" s="9"/>
      <c r="Q49" s="104"/>
      <c r="R49" s="104"/>
    </row>
    <row r="50" spans="1:18" x14ac:dyDescent="0.3">
      <c r="A50" s="233"/>
      <c r="B50" s="104"/>
      <c r="C50" s="104"/>
      <c r="D50" s="104"/>
      <c r="E50" s="104"/>
      <c r="F50" s="104"/>
      <c r="G50" s="104"/>
      <c r="H50" s="104"/>
      <c r="I50" s="104"/>
      <c r="J50" s="104"/>
      <c r="K50" s="179"/>
      <c r="L50" s="179"/>
      <c r="M50" s="9"/>
      <c r="N50" s="9"/>
      <c r="O50" s="9"/>
      <c r="P50" s="9"/>
      <c r="Q50" s="104"/>
      <c r="R50" s="104"/>
    </row>
    <row r="51" spans="1:18" x14ac:dyDescent="0.3">
      <c r="A51" s="233"/>
      <c r="B51" s="104"/>
      <c r="C51" s="104"/>
      <c r="D51" s="104"/>
      <c r="E51" s="104"/>
      <c r="F51" s="104"/>
      <c r="G51" s="104"/>
      <c r="H51" s="104"/>
      <c r="I51" s="104"/>
      <c r="J51" s="104"/>
      <c r="K51" s="179"/>
      <c r="L51" s="179"/>
      <c r="M51" s="9"/>
      <c r="N51" s="9"/>
      <c r="O51" s="9" t="s">
        <v>57</v>
      </c>
      <c r="P51" s="9"/>
      <c r="Q51" s="104"/>
      <c r="R51" s="104"/>
    </row>
    <row r="52" spans="1:18" x14ac:dyDescent="0.3">
      <c r="A52" s="233"/>
      <c r="B52" s="104"/>
      <c r="C52" s="104"/>
      <c r="D52" s="104"/>
      <c r="E52" s="104"/>
      <c r="F52" s="104"/>
      <c r="G52" s="104"/>
      <c r="H52" s="104"/>
      <c r="I52" s="104"/>
      <c r="J52" s="104"/>
      <c r="K52" s="179"/>
      <c r="L52" s="179"/>
      <c r="M52" s="9"/>
      <c r="N52" s="9"/>
      <c r="O52" s="9"/>
      <c r="P52" s="9"/>
      <c r="Q52" s="104"/>
      <c r="R52" s="104"/>
    </row>
    <row r="53" spans="1:18" x14ac:dyDescent="0.3">
      <c r="A53" s="233"/>
      <c r="B53" s="104"/>
      <c r="C53" s="104"/>
      <c r="D53" s="104"/>
      <c r="E53" s="104"/>
      <c r="F53" s="104"/>
      <c r="G53" s="104"/>
      <c r="H53" s="104"/>
      <c r="I53" s="104"/>
      <c r="J53" s="104"/>
      <c r="K53" s="179"/>
      <c r="L53" s="179"/>
      <c r="M53" s="9"/>
      <c r="N53" s="9"/>
      <c r="O53" s="9"/>
      <c r="P53" s="9"/>
      <c r="Q53" s="104"/>
      <c r="R53" s="104"/>
    </row>
    <row r="54" spans="1:18" x14ac:dyDescent="0.3">
      <c r="A54" s="233"/>
      <c r="B54" s="104"/>
      <c r="C54" s="104"/>
      <c r="D54" s="104"/>
      <c r="E54" s="104"/>
      <c r="F54" s="104"/>
      <c r="G54" s="104"/>
      <c r="H54" s="104"/>
      <c r="I54" s="104"/>
      <c r="J54" s="104"/>
      <c r="K54" s="179"/>
      <c r="L54" s="179"/>
      <c r="M54" s="9"/>
      <c r="N54" s="9"/>
      <c r="O54" s="9"/>
      <c r="P54" s="9"/>
      <c r="Q54" s="104"/>
      <c r="R54" s="104"/>
    </row>
  </sheetData>
  <dataConsolidate/>
  <mergeCells count="106">
    <mergeCell ref="B21:B23"/>
    <mergeCell ref="J21:J23"/>
    <mergeCell ref="I21:I23"/>
    <mergeCell ref="P40:P41"/>
    <mergeCell ref="P32:P33"/>
    <mergeCell ref="N40:N41"/>
    <mergeCell ref="O40:O41"/>
    <mergeCell ref="N35:N36"/>
    <mergeCell ref="O37:O38"/>
    <mergeCell ref="P37:P38"/>
    <mergeCell ref="B29:B33"/>
    <mergeCell ref="I24:I28"/>
    <mergeCell ref="I29:I33"/>
    <mergeCell ref="K29:K33"/>
    <mergeCell ref="J29:J33"/>
    <mergeCell ref="J24:J28"/>
    <mergeCell ref="B41:B43"/>
    <mergeCell ref="J41:J43"/>
    <mergeCell ref="K41:K43"/>
    <mergeCell ref="B38:B40"/>
    <mergeCell ref="I41:I43"/>
    <mergeCell ref="B24:B28"/>
    <mergeCell ref="B34:B37"/>
    <mergeCell ref="K34:K40"/>
    <mergeCell ref="P13:P14"/>
    <mergeCell ref="N32:N33"/>
    <mergeCell ref="I44:I47"/>
    <mergeCell ref="J44:L44"/>
    <mergeCell ref="L41:L43"/>
    <mergeCell ref="N37:N38"/>
    <mergeCell ref="J47:L47"/>
    <mergeCell ref="J46:L46"/>
    <mergeCell ref="O32:O33"/>
    <mergeCell ref="J45:L45"/>
    <mergeCell ref="I15:I17"/>
    <mergeCell ref="I18:I20"/>
    <mergeCell ref="N29:P31"/>
    <mergeCell ref="L21:L23"/>
    <mergeCell ref="L24:L28"/>
    <mergeCell ref="L29:L33"/>
    <mergeCell ref="L34:L40"/>
    <mergeCell ref="J15:J17"/>
    <mergeCell ref="J18:J20"/>
    <mergeCell ref="L18:L20"/>
    <mergeCell ref="N15:N16"/>
    <mergeCell ref="O15:O16"/>
    <mergeCell ref="Q15:Q16"/>
    <mergeCell ref="P17:P18"/>
    <mergeCell ref="Q17:Q18"/>
    <mergeCell ref="K18:K20"/>
    <mergeCell ref="N43:N44"/>
    <mergeCell ref="O43:O44"/>
    <mergeCell ref="P43:P44"/>
    <mergeCell ref="O35:O36"/>
    <mergeCell ref="P35:P36"/>
    <mergeCell ref="N23:N24"/>
    <mergeCell ref="K24:K28"/>
    <mergeCell ref="K21:K23"/>
    <mergeCell ref="N13:N14"/>
    <mergeCell ref="O13:O14"/>
    <mergeCell ref="B12:B14"/>
    <mergeCell ref="B15:B17"/>
    <mergeCell ref="I9:I11"/>
    <mergeCell ref="I12:I14"/>
    <mergeCell ref="L15:L17"/>
    <mergeCell ref="L12:L14"/>
    <mergeCell ref="Q5:Q6"/>
    <mergeCell ref="L6:L8"/>
    <mergeCell ref="L9:L11"/>
    <mergeCell ref="Q7:Q8"/>
    <mergeCell ref="J6:J8"/>
    <mergeCell ref="K6:K8"/>
    <mergeCell ref="N5:N6"/>
    <mergeCell ref="O5:O6"/>
    <mergeCell ref="P5:P6"/>
    <mergeCell ref="P7:P8"/>
    <mergeCell ref="O7:O8"/>
    <mergeCell ref="N7:N8"/>
    <mergeCell ref="Q13:Q14"/>
    <mergeCell ref="J9:J11"/>
    <mergeCell ref="J12:J14"/>
    <mergeCell ref="K9:K11"/>
    <mergeCell ref="A1:R2"/>
    <mergeCell ref="R4:R16"/>
    <mergeCell ref="R19:R21"/>
    <mergeCell ref="Q9:Q10"/>
    <mergeCell ref="Q11:Q12"/>
    <mergeCell ref="N9:N10"/>
    <mergeCell ref="N11:N12"/>
    <mergeCell ref="P11:P12"/>
    <mergeCell ref="P9:P10"/>
    <mergeCell ref="O9:O10"/>
    <mergeCell ref="O11:O12"/>
    <mergeCell ref="P15:P16"/>
    <mergeCell ref="K12:K14"/>
    <mergeCell ref="K15:K17"/>
    <mergeCell ref="N17:N18"/>
    <mergeCell ref="O17:O18"/>
    <mergeCell ref="G4:G5"/>
    <mergeCell ref="A4:A5"/>
    <mergeCell ref="B4:B5"/>
    <mergeCell ref="H4:H5"/>
    <mergeCell ref="B6:B8"/>
    <mergeCell ref="I6:I8"/>
    <mergeCell ref="B18:B20"/>
    <mergeCell ref="B9:B11"/>
  </mergeCells>
  <dataValidations count="35">
    <dataValidation type="whole" operator="equal" allowBlank="1" showInputMessage="1" showErrorMessage="1" sqref="Q21 Q13:Q18 Q9:Q11 Q5:Q7" xr:uid="{00000000-0002-0000-0000-000000000000}">
      <formula1>O5+P5*2</formula1>
    </dataValidation>
    <dataValidation type="whole" operator="equal" allowBlank="1" showInputMessage="1" showErrorMessage="1" sqref="J6:J8" xr:uid="{00000000-0002-0000-0000-000001000000}">
      <formula1>675</formula1>
    </dataValidation>
    <dataValidation type="whole" operator="equal" allowBlank="1" showInputMessage="1" showErrorMessage="1" sqref="J9:J11" xr:uid="{00000000-0002-0000-0000-000002000000}">
      <formula1>840</formula1>
    </dataValidation>
    <dataValidation type="whole" operator="equal" allowBlank="1" showInputMessage="1" showErrorMessage="1" sqref="J12:J17" xr:uid="{00000000-0002-0000-0000-000003000000}">
      <formula1>2100</formula1>
    </dataValidation>
    <dataValidation type="whole" operator="equal" allowBlank="1" showInputMessage="1" showErrorMessage="1" sqref="J18:J20" xr:uid="{00000000-0002-0000-0000-000004000000}">
      <formula1>2040</formula1>
    </dataValidation>
    <dataValidation type="whole" operator="equal" allowBlank="1" showInputMessage="1" showErrorMessage="1" sqref="J21:J23" xr:uid="{00000000-0002-0000-0000-000005000000}">
      <formula1>2130</formula1>
    </dataValidation>
    <dataValidation type="whole" operator="equal" allowBlank="1" showInputMessage="1" showErrorMessage="1" sqref="J24:J28" xr:uid="{00000000-0002-0000-0000-000006000000}">
      <formula1>1644</formula1>
    </dataValidation>
    <dataValidation type="whole" operator="equal" allowBlank="1" showInputMessage="1" showErrorMessage="1" sqref="J41:J43" xr:uid="{00000000-0002-0000-0000-000007000000}">
      <formula1>1013</formula1>
    </dataValidation>
    <dataValidation type="whole" operator="equal" allowBlank="1" showInputMessage="1" showErrorMessage="1" sqref="K41:K43 K24:K33" xr:uid="{00000000-0002-0000-0000-000008000000}">
      <formula1>I24/J24</formula1>
    </dataValidation>
    <dataValidation type="whole" operator="equal" allowBlank="1" showInputMessage="1" showErrorMessage="1" sqref="O7" xr:uid="{00000000-0002-0000-0000-000009000000}">
      <formula1>C7+C10+C13+C16+C19+C22+C26+C32+C36+C39+C42+C46</formula1>
    </dataValidation>
    <dataValidation type="whole" operator="equal" allowBlank="1" showInputMessage="1" showErrorMessage="1" sqref="H48:H54" xr:uid="{00000000-0002-0000-0000-00000A000000}">
      <formula1>C48+D48*2+E48+F48*2</formula1>
    </dataValidation>
    <dataValidation type="whole" operator="equal" allowBlank="1" showInputMessage="1" showErrorMessage="1" sqref="Q25 L34" xr:uid="{00000000-0002-0000-0000-00000B000000}">
      <formula1>100%-K25</formula1>
    </dataValidation>
    <dataValidation type="whole" operator="equal" allowBlank="1" showInputMessage="1" showErrorMessage="1" sqref="P32:P38 P40:P41" xr:uid="{00000000-0002-0000-0000-00000C000000}">
      <formula1>O32/12974</formula1>
    </dataValidation>
    <dataValidation type="whole" operator="equal" allowBlank="1" showInputMessage="1" showErrorMessage="1" sqref="I41:I43" xr:uid="{00000000-0002-0000-0000-00000D000000}">
      <formula1>E41+F41*2</formula1>
    </dataValidation>
    <dataValidation type="whole" operator="equal" allowBlank="1" showInputMessage="1" showErrorMessage="1" sqref="J29:J33" xr:uid="{00000000-0002-0000-0000-00000E000000}">
      <formula1>176</formula1>
    </dataValidation>
    <dataValidation type="whole" operator="equal" allowBlank="1" showInputMessage="1" showErrorMessage="1" sqref="I6:I23" xr:uid="{00000000-0002-0000-0000-00000F000000}">
      <formula1>H6+H7+H8</formula1>
    </dataValidation>
    <dataValidation type="whole" operator="equal" allowBlank="1" showInputMessage="1" showErrorMessage="1" sqref="H6:H47" xr:uid="{00000000-0002-0000-0000-000010000000}">
      <formula1>C6+D6*2+E6+F6*2+G6*2</formula1>
    </dataValidation>
    <dataValidation type="whole" operator="equal" allowBlank="1" showInputMessage="1" showErrorMessage="1" sqref="O26" xr:uid="{00000000-0002-0000-0000-000011000000}">
      <formula1>768</formula1>
    </dataValidation>
    <dataValidation type="whole" operator="equal" allowBlank="1" showInputMessage="1" showErrorMessage="1" sqref="O9:O10 P9:P12" xr:uid="{00000000-0002-0000-0000-000012000000}">
      <formula1>C25+C30</formula1>
    </dataValidation>
    <dataValidation type="whole" operator="equal" allowBlank="1" showInputMessage="1" showErrorMessage="1" sqref="O17:O18" xr:uid="{00000000-0002-0000-0000-000013000000}">
      <formula1>C44+C45+C46+C47+E44+E45+E46+E47</formula1>
    </dataValidation>
    <dataValidation type="whole" operator="equal" allowBlank="1" showInputMessage="1" showErrorMessage="1" sqref="O21:P21" xr:uid="{00000000-0002-0000-0000-000014000000}">
      <formula1>O9+O11</formula1>
    </dataValidation>
    <dataValidation type="whole" operator="equal" allowBlank="1" showInputMessage="1" showErrorMessage="1" sqref="P25" xr:uid="{00000000-0002-0000-0000-000015000000}">
      <formula1>Q21/O25</formula1>
    </dataValidation>
    <dataValidation type="whole" operator="equal" allowBlank="1" showInputMessage="1" showErrorMessage="1" sqref="P42" xr:uid="{00000000-0002-0000-0000-000016000000}">
      <formula1>100%-P40</formula1>
    </dataValidation>
    <dataValidation type="whole" operator="equal" allowBlank="1" showInputMessage="1" showErrorMessage="1" sqref="P17:P18" xr:uid="{00000000-0002-0000-0000-000017000000}">
      <formula1>D44+D45+D46+D47+G44+G45+G46+G47</formula1>
    </dataValidation>
    <dataValidation type="whole" operator="equal" allowBlank="1" showInputMessage="1" showErrorMessage="1" sqref="O42" xr:uid="{00000000-0002-0000-0000-000018000000}">
      <formula1>O40-12974</formula1>
    </dataValidation>
    <dataValidation type="whole" operator="equal" allowBlank="1" showInputMessage="1" showErrorMessage="1" sqref="I44:I47" xr:uid="{00000000-0002-0000-0000-000019000000}">
      <formula1>H44+H45+H46+H47</formula1>
    </dataValidation>
    <dataValidation type="whole" operator="equal" allowBlank="1" showInputMessage="1" showErrorMessage="1" sqref="O5:O6" xr:uid="{00000000-0002-0000-0000-00001A000000}">
      <formula1>C6+C9+C12+C15+C18+C21+C24+C29+C35+C38+C41+C44+C45+C46+C47+C34</formula1>
    </dataValidation>
    <dataValidation type="whole" operator="equal" allowBlank="1" showInputMessage="1" showErrorMessage="1" sqref="I24:I33" xr:uid="{00000000-0002-0000-0000-00001B000000}">
      <formula1>H24+H25+H26+H27+H28</formula1>
    </dataValidation>
    <dataValidation type="whole" operator="equal" allowBlank="1" showInputMessage="1" showErrorMessage="1" sqref="P5:P6" xr:uid="{00000000-0002-0000-0000-00001C000000}">
      <formula1>D6+D9+D12+D15+D18+D21+D24+D29+D35+D38+D41+D44+D45+D46+D47+G6+G9+G12+G15+G18+G21+G24+G29+G35+G38+G41+G44+G46+G47+D34</formula1>
    </dataValidation>
    <dataValidation type="whole" operator="equal" allowBlank="1" showInputMessage="1" showErrorMessage="1" sqref="O15:O16" xr:uid="{00000000-0002-0000-0000-00001D000000}">
      <formula1>E6+E12+E9+E15+E18+E21+E24+E29+E35+E38+E41+E45+E44</formula1>
    </dataValidation>
    <dataValidation type="whole" operator="equal" allowBlank="1" showInputMessage="1" showErrorMessage="1" sqref="P15:P16" xr:uid="{00000000-0002-0000-0000-00001E000000}">
      <formula1>F6+F9+F12+F15+F18+F21+F24+F29+F35+F38+F41+F44+F45</formula1>
    </dataValidation>
    <dataValidation type="whole" operator="equal" allowBlank="1" showInputMessage="1" showErrorMessage="1" sqref="O40:O41" xr:uid="{00000000-0002-0000-0000-00001F000000}">
      <formula1>O32+O35+O37</formula1>
    </dataValidation>
    <dataValidation type="whole" operator="equal" allowBlank="1" showInputMessage="1" showErrorMessage="1" sqref="J34" xr:uid="{00000000-0002-0000-0000-000020000000}">
      <formula1>700</formula1>
    </dataValidation>
    <dataValidation type="whole" operator="equal" allowBlank="1" showInputMessage="1" showErrorMessage="1" sqref="L41:L43" xr:uid="{00000000-0002-0000-0000-000021000000}">
      <formula1>100%-K40</formula1>
    </dataValidation>
    <dataValidation type="whole" operator="equal" allowBlank="1" showInputMessage="1" showErrorMessage="1" sqref="I34:I40" xr:uid="{00000000-0002-0000-0000-000022000000}">
      <formula1>H34+H35+H36+H37+H38+H39+H40</formula1>
    </dataValidation>
  </dataValidations>
  <pageMargins left="0.70866141732283505" right="0.70866141732283505" top="0.74803149606299202" bottom="0.74803149606299202" header="0.31496062992126" footer="0.31496062992126"/>
  <pageSetup scale="3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FD58A-69F2-4BD6-8B9A-942E4B8E84E6}">
  <sheetPr codeName="Sheet2"/>
  <dimension ref="F7:I30"/>
  <sheetViews>
    <sheetView topLeftCell="A16" workbookViewId="0">
      <selection activeCell="I24" sqref="F7:I24"/>
    </sheetView>
  </sheetViews>
  <sheetFormatPr defaultRowHeight="14" x14ac:dyDescent="0.3"/>
  <cols>
    <col min="5" max="5" width="17.75" bestFit="1" customWidth="1"/>
    <col min="6" max="6" width="18.75" bestFit="1" customWidth="1"/>
    <col min="7" max="7" width="17.75" bestFit="1" customWidth="1"/>
    <col min="8" max="8" width="18.75" bestFit="1" customWidth="1"/>
    <col min="9" max="9" width="16.58203125" customWidth="1"/>
  </cols>
  <sheetData>
    <row r="7" spans="7:9" ht="25.5" thickBot="1" x14ac:dyDescent="0.35">
      <c r="G7" s="259" t="s">
        <v>72</v>
      </c>
      <c r="H7" s="259" t="s">
        <v>71</v>
      </c>
      <c r="I7" s="267" t="s">
        <v>32</v>
      </c>
    </row>
    <row r="8" spans="7:9" ht="25.5" thickBot="1" x14ac:dyDescent="0.35">
      <c r="H8" s="258" t="s">
        <v>18</v>
      </c>
      <c r="I8" s="266">
        <v>675</v>
      </c>
    </row>
    <row r="9" spans="7:9" ht="25.5" thickBot="1" x14ac:dyDescent="0.35">
      <c r="H9" s="39" t="s">
        <v>5</v>
      </c>
      <c r="I9" s="260">
        <v>840</v>
      </c>
    </row>
    <row r="10" spans="7:9" ht="25.5" thickBot="1" x14ac:dyDescent="0.35">
      <c r="H10" s="57" t="s">
        <v>6</v>
      </c>
      <c r="I10" s="268">
        <v>2100</v>
      </c>
    </row>
    <row r="11" spans="7:9" ht="25.5" thickBot="1" x14ac:dyDescent="0.35">
      <c r="H11" s="265" t="s">
        <v>7</v>
      </c>
      <c r="I11" s="263">
        <v>2100</v>
      </c>
    </row>
    <row r="12" spans="7:9" ht="25.5" thickBot="1" x14ac:dyDescent="0.35">
      <c r="H12" s="262" t="s">
        <v>8</v>
      </c>
      <c r="I12" s="264">
        <v>2040</v>
      </c>
    </row>
    <row r="13" spans="7:9" ht="25.5" thickBot="1" x14ac:dyDescent="0.35">
      <c r="H13" s="255" t="s">
        <v>13</v>
      </c>
      <c r="I13" s="256">
        <v>2130</v>
      </c>
    </row>
    <row r="14" spans="7:9" ht="25.5" thickBot="1" x14ac:dyDescent="0.35">
      <c r="H14" s="257" t="s">
        <v>10</v>
      </c>
      <c r="I14" s="261">
        <v>1644</v>
      </c>
    </row>
    <row r="15" spans="7:9" ht="25.5" thickBot="1" x14ac:dyDescent="0.35">
      <c r="H15" s="257" t="s">
        <v>15</v>
      </c>
      <c r="I15" s="260">
        <v>176</v>
      </c>
    </row>
    <row r="16" spans="7:9" ht="25.5" thickBot="1" x14ac:dyDescent="0.35">
      <c r="H16" s="129" t="s">
        <v>17</v>
      </c>
      <c r="I16" s="260">
        <v>176</v>
      </c>
    </row>
    <row r="17" spans="6:9" ht="25.5" thickBot="1" x14ac:dyDescent="0.35">
      <c r="H17" s="129" t="s">
        <v>14</v>
      </c>
      <c r="I17" s="260">
        <v>524</v>
      </c>
    </row>
    <row r="18" spans="6:9" ht="25.5" thickBot="1" x14ac:dyDescent="0.35">
      <c r="H18" s="129" t="s">
        <v>16</v>
      </c>
      <c r="I18" s="260">
        <v>1013</v>
      </c>
    </row>
    <row r="19" spans="6:9" ht="25" x14ac:dyDescent="0.3">
      <c r="G19" s="443" t="s">
        <v>65</v>
      </c>
      <c r="H19" s="443" t="s">
        <v>59</v>
      </c>
      <c r="I19" s="443">
        <v>1750</v>
      </c>
    </row>
    <row r="20" spans="6:9" ht="25.5" thickBot="1" x14ac:dyDescent="0.35">
      <c r="F20" s="444" t="s">
        <v>66</v>
      </c>
      <c r="G20" s="444" t="s">
        <v>60</v>
      </c>
      <c r="I20" s="444">
        <v>1600</v>
      </c>
    </row>
    <row r="21" spans="6:9" ht="25.5" thickBot="1" x14ac:dyDescent="0.35">
      <c r="F21" s="445" t="s">
        <v>67</v>
      </c>
      <c r="G21" s="445" t="s">
        <v>61</v>
      </c>
      <c r="I21" s="445">
        <v>550</v>
      </c>
    </row>
    <row r="22" spans="6:9" ht="25.5" thickBot="1" x14ac:dyDescent="0.35">
      <c r="F22" s="446" t="s">
        <v>68</v>
      </c>
      <c r="G22" s="446" t="s">
        <v>62</v>
      </c>
      <c r="I22" s="446">
        <v>500</v>
      </c>
    </row>
    <row r="23" spans="6:9" ht="25" x14ac:dyDescent="0.3">
      <c r="F23" s="447" t="s">
        <v>69</v>
      </c>
      <c r="G23" s="447" t="s">
        <v>63</v>
      </c>
      <c r="I23" s="447">
        <v>981</v>
      </c>
    </row>
    <row r="24" spans="6:9" ht="25" x14ac:dyDescent="0.3">
      <c r="F24" s="448" t="s">
        <v>70</v>
      </c>
      <c r="G24" s="448" t="s">
        <v>64</v>
      </c>
      <c r="I24" s="448">
        <v>2500</v>
      </c>
    </row>
    <row r="25" spans="6:9" ht="14.5" customHeight="1" x14ac:dyDescent="0.3"/>
    <row r="26" spans="6:9" ht="14.5" customHeight="1" x14ac:dyDescent="0.3"/>
    <row r="27" spans="6:9" ht="14.5" customHeight="1" x14ac:dyDescent="0.3"/>
    <row r="28" spans="6:9" ht="14.5" customHeight="1" x14ac:dyDescent="0.3"/>
    <row r="29" spans="6:9" ht="14.5" customHeight="1" x14ac:dyDescent="0.3"/>
    <row r="30" spans="6:9" ht="14.5" customHeight="1" x14ac:dyDescent="0.3"/>
  </sheetData>
  <phoneticPr fontId="6" type="noConversion"/>
  <dataValidations count="8">
    <dataValidation type="whole" operator="equal" allowBlank="1" showInputMessage="1" showErrorMessage="1" sqref="I15:I16" xr:uid="{35529FD4-EA64-4262-929D-13FE0B539E11}">
      <formula1>176</formula1>
    </dataValidation>
    <dataValidation type="whole" operator="equal" allowBlank="1" showInputMessage="1" showErrorMessage="1" sqref="I13" xr:uid="{1E880E6C-6A59-40F8-B000-CE5EF0E661C0}">
      <formula1>2130</formula1>
    </dataValidation>
    <dataValidation type="whole" operator="equal" allowBlank="1" showInputMessage="1" showErrorMessage="1" sqref="I12" xr:uid="{6046120F-40B4-42E1-B31A-B26F21B35A2E}">
      <formula1>2040</formula1>
    </dataValidation>
    <dataValidation type="whole" operator="equal" allowBlank="1" showInputMessage="1" showErrorMessage="1" sqref="I8" xr:uid="{E3BB22F2-EC91-4ADE-A5DF-F06F81103166}">
      <formula1>675</formula1>
    </dataValidation>
    <dataValidation type="whole" operator="equal" allowBlank="1" showInputMessage="1" showErrorMessage="1" sqref="I9" xr:uid="{10C9C35C-03A4-45ED-83A2-E8F54903D20F}">
      <formula1>840</formula1>
    </dataValidation>
    <dataValidation type="whole" operator="equal" allowBlank="1" showInputMessage="1" showErrorMessage="1" sqref="I10:I11" xr:uid="{D2FB470D-3A23-4219-A007-E424DD67348A}">
      <formula1>2100</formula1>
    </dataValidation>
    <dataValidation type="whole" operator="equal" allowBlank="1" showInputMessage="1" showErrorMessage="1" sqref="I14" xr:uid="{2EB9EC58-B0B8-4976-9A31-58BA3933761B}">
      <formula1>1644</formula1>
    </dataValidation>
    <dataValidation showInputMessage="1" showErrorMessage="1" sqref="I17:I23" xr:uid="{519E5BE4-89F9-45A0-9B98-9DFB37BAFB3A}"/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ساحات داخلية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2025-11-30T22:57:20Z</dcterms:modified>
</cp:coreProperties>
</file>