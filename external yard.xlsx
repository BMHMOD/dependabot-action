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codeName="ThisWorkbook" defaultThemeVersion="124226"/>
  <xr:revisionPtr revIDLastSave="0" documentId="13_ncr:1_{A307AE95-6982-40A7-900B-0B2593532F1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ساحات خارجية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1" l="1"/>
  <c r="B28" i="1" l="1"/>
  <c r="C28" i="1"/>
  <c r="E28" i="1"/>
  <c r="D28" i="1"/>
  <c r="F25" i="1" l="1"/>
  <c r="G16" i="1" l="1"/>
  <c r="F26" i="1" l="1"/>
  <c r="F27" i="1"/>
  <c r="F24" i="1"/>
  <c r="F28" i="1" l="1"/>
  <c r="H18" i="1" s="1"/>
  <c r="K26" i="1"/>
  <c r="J26" i="1"/>
  <c r="I12" i="1" l="1"/>
  <c r="I19" i="1" s="1"/>
  <c r="K17" i="1" l="1"/>
  <c r="K15" i="1"/>
  <c r="K13" i="1"/>
  <c r="K11" i="1"/>
  <c r="K9" i="1"/>
  <c r="K7" i="1"/>
  <c r="G8" i="1" l="1"/>
  <c r="J8" i="1" s="1"/>
  <c r="K8" i="1" s="1"/>
  <c r="G9" i="1"/>
  <c r="G10" i="1"/>
  <c r="G11" i="1"/>
  <c r="G12" i="1"/>
  <c r="G13" i="1"/>
  <c r="G14" i="1"/>
  <c r="J14" i="1" s="1"/>
  <c r="G15" i="1"/>
  <c r="G17" i="1"/>
  <c r="G6" i="1"/>
  <c r="H6" i="1" l="1"/>
  <c r="G19" i="1"/>
  <c r="J22" i="1" s="1"/>
  <c r="J24" i="1" s="1"/>
  <c r="J16" i="1"/>
  <c r="K16" i="1" s="1"/>
  <c r="H16" i="1"/>
  <c r="J10" i="1"/>
  <c r="K10" i="1" s="1"/>
  <c r="H10" i="1"/>
  <c r="H8" i="1"/>
  <c r="H14" i="1"/>
  <c r="K14" i="1"/>
  <c r="J12" i="1"/>
  <c r="K12" i="1" s="1"/>
  <c r="H12" i="1"/>
  <c r="J6" i="1"/>
  <c r="K6" i="1" s="1"/>
  <c r="K24" i="1" l="1"/>
  <c r="K22" i="1"/>
  <c r="H19" i="1"/>
  <c r="J19" i="1" s="1"/>
  <c r="K19" i="1" s="1"/>
  <c r="J18" i="1"/>
</calcChain>
</file>

<file path=xl/sharedStrings.xml><?xml version="1.0" encoding="utf-8"?>
<sst xmlns="http://schemas.openxmlformats.org/spreadsheetml/2006/main" count="50" uniqueCount="31">
  <si>
    <t>mode</t>
  </si>
  <si>
    <t>block</t>
  </si>
  <si>
    <t>TUE</t>
  </si>
  <si>
    <t>F</t>
  </si>
  <si>
    <t>E</t>
  </si>
  <si>
    <t>capacity</t>
  </si>
  <si>
    <t>slots</t>
  </si>
  <si>
    <t>import</t>
  </si>
  <si>
    <t>export</t>
  </si>
  <si>
    <t>ساحة التجارية</t>
  </si>
  <si>
    <t>ساحة المفروزة</t>
  </si>
  <si>
    <t>ساحة 68</t>
  </si>
  <si>
    <t>ساحة 32</t>
  </si>
  <si>
    <t>ساحة 36</t>
  </si>
  <si>
    <t>ساحة 22</t>
  </si>
  <si>
    <t>Total External Yard capacity</t>
  </si>
  <si>
    <t>occ.</t>
  </si>
  <si>
    <t>emp</t>
  </si>
  <si>
    <t>Roro5</t>
  </si>
  <si>
    <t>S700</t>
  </si>
  <si>
    <t>S900</t>
  </si>
  <si>
    <t>tue</t>
  </si>
  <si>
    <t>expected from internal yards</t>
  </si>
  <si>
    <t>total expected from internal yards</t>
  </si>
  <si>
    <t>total</t>
  </si>
  <si>
    <t>Tue</t>
  </si>
  <si>
    <t>Roro1</t>
  </si>
  <si>
    <t>TOTAL OCCUPIED TUE</t>
  </si>
  <si>
    <t>MAX  TUE</t>
  </si>
  <si>
    <t>FREE EMPTY SLOTS TUE</t>
  </si>
  <si>
    <t xml:space="preserve"> External Yard Capacity Statistics     DD /MM/YYYY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</si>
</sst>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family val="2"/>
      <scheme val="minor"/>
    </font>
    <font>
      <b/>
      <sz val="20"/>
      <color theme="1"/>
      <name val="Arial"/>
      <family val="2"/>
      <scheme val="minor"/>
    </font>
    <font>
      <b/>
      <sz val="54"/>
      <color theme="1"/>
      <name val="Arial"/>
      <family val="2"/>
      <scheme val="minor"/>
    </font>
    <font>
      <b/>
      <sz val="24"/>
      <color theme="1"/>
      <name val="Arial"/>
      <family val="2"/>
      <scheme val="minor"/>
    </font>
    <font>
      <b/>
      <sz val="36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24"/>
      <color rgb="FFFF0000"/>
      <name val="Arial"/>
      <family val="2"/>
      <scheme val="minor"/>
    </font>
    <font>
      <sz val="18"/>
      <color theme="1"/>
      <name val="Arial"/>
      <family val="2"/>
      <scheme val="minor"/>
    </font>
    <font>
      <b/>
      <sz val="22"/>
      <color theme="1"/>
      <name val="Arial"/>
      <family val="2"/>
      <scheme val="minor"/>
    </font>
    <font>
      <sz val="22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5"/>
      <color theme="1"/>
      <name val="Arial"/>
      <family val="2"/>
      <scheme val="minor"/>
    </font>
    <font>
      <b/>
      <sz val="44"/>
      <color theme="1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59">
    <xf numFmtId="0" fontId="0" fillId="0" borderId="0" xfId="0"/>
    <xf numFmtId="10" fontId="1" fillId="3" borderId="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center" vertical="center"/>
    </xf>
    <xf numFmtId="0" fontId="1" fillId="9" borderId="11" xfId="0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13" borderId="32" xfId="0" applyFont="1" applyFill="1" applyBorder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7" fillId="10" borderId="8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12" borderId="4" xfId="0" applyFont="1" applyFill="1" applyBorder="1" applyAlignment="1">
      <alignment horizontal="center" vertical="center"/>
    </xf>
    <xf numFmtId="10" fontId="3" fillId="11" borderId="17" xfId="0" applyNumberFormat="1" applyFont="1" applyFill="1" applyBorder="1" applyAlignment="1">
      <alignment horizontal="center" vertical="center"/>
    </xf>
    <xf numFmtId="10" fontId="3" fillId="11" borderId="29" xfId="0" applyNumberFormat="1" applyFont="1" applyFill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5" fillId="13" borderId="33" xfId="0" applyFont="1" applyFill="1" applyBorder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5" fillId="13" borderId="20" xfId="0" applyFont="1" applyFill="1" applyBorder="1" applyAlignment="1">
      <alignment horizontal="center" vertical="center"/>
    </xf>
    <xf numFmtId="0" fontId="5" fillId="12" borderId="31" xfId="0" applyFont="1" applyFill="1" applyBorder="1" applyAlignment="1">
      <alignment horizontal="center" vertical="center"/>
    </xf>
    <xf numFmtId="0" fontId="5" fillId="12" borderId="17" xfId="0" applyFont="1" applyFill="1" applyBorder="1" applyAlignment="1">
      <alignment horizontal="center" vertical="center"/>
    </xf>
    <xf numFmtId="0" fontId="5" fillId="12" borderId="18" xfId="0" applyFont="1" applyFill="1" applyBorder="1" applyAlignment="1">
      <alignment horizontal="center" vertical="center"/>
    </xf>
    <xf numFmtId="0" fontId="5" fillId="12" borderId="29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10" fontId="1" fillId="3" borderId="29" xfId="0" applyNumberFormat="1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24" xfId="0" applyFont="1" applyFill="1" applyBorder="1" applyAlignment="1">
      <alignment horizontal="center" vertical="center"/>
    </xf>
    <xf numFmtId="0" fontId="1" fillId="9" borderId="23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1" fillId="8" borderId="14" xfId="0" applyFont="1" applyFill="1" applyBorder="1" applyAlignment="1">
      <alignment horizontal="center" vertical="center"/>
    </xf>
    <xf numFmtId="0" fontId="1" fillId="8" borderId="13" xfId="0" applyFont="1" applyFill="1" applyBorder="1" applyAlignment="1">
      <alignment horizontal="center" vertical="center"/>
    </xf>
    <xf numFmtId="0" fontId="1" fillId="8" borderId="22" xfId="0" applyFont="1" applyFill="1" applyBorder="1" applyAlignment="1">
      <alignment horizontal="center" vertical="center"/>
    </xf>
    <xf numFmtId="0" fontId="1" fillId="8" borderId="23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6" borderId="22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11" borderId="18" xfId="0" applyFont="1" applyFill="1" applyBorder="1" applyAlignment="1">
      <alignment horizontal="center" vertical="center"/>
    </xf>
    <xf numFmtId="0" fontId="8" fillId="10" borderId="0" xfId="0" applyFont="1" applyFill="1" applyAlignment="1">
      <alignment vertical="center"/>
    </xf>
    <xf numFmtId="0" fontId="5" fillId="3" borderId="17" xfId="0" applyFont="1" applyFill="1" applyBorder="1" applyAlignment="1">
      <alignment vertical="center"/>
    </xf>
    <xf numFmtId="0" fontId="5" fillId="10" borderId="0" xfId="0" applyFont="1" applyFill="1" applyAlignment="1">
      <alignment horizontal="center" vertical="center"/>
    </xf>
    <xf numFmtId="0" fontId="5" fillId="10" borderId="7" xfId="0" applyFont="1" applyFill="1" applyBorder="1" applyAlignment="1">
      <alignment horizontal="center" vertical="center"/>
    </xf>
    <xf numFmtId="10" fontId="8" fillId="14" borderId="31" xfId="0" applyNumberFormat="1" applyFont="1" applyFill="1" applyBorder="1" applyAlignment="1">
      <alignment horizontal="center" vertical="center"/>
    </xf>
    <xf numFmtId="10" fontId="8" fillId="14" borderId="29" xfId="0" applyNumberFormat="1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10" fillId="14" borderId="3" xfId="0" applyFont="1" applyFill="1" applyBorder="1" applyAlignment="1">
      <alignment horizontal="center" vertical="center"/>
    </xf>
    <xf numFmtId="0" fontId="10" fillId="14" borderId="4" xfId="0" applyFont="1" applyFill="1" applyBorder="1" applyAlignment="1">
      <alignment horizontal="center" vertical="center"/>
    </xf>
    <xf numFmtId="0" fontId="10" fillId="14" borderId="6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0" fontId="11" fillId="14" borderId="3" xfId="0" applyFont="1" applyFill="1" applyBorder="1" applyAlignment="1">
      <alignment horizontal="center" vertical="center"/>
    </xf>
    <xf numFmtId="0" fontId="11" fillId="14" borderId="4" xfId="0" applyFont="1" applyFill="1" applyBorder="1" applyAlignment="1">
      <alignment horizontal="center" vertical="center"/>
    </xf>
    <xf numFmtId="0" fontId="11" fillId="14" borderId="6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4" borderId="3" xfId="0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0" fontId="3" fillId="14" borderId="6" xfId="0" applyFont="1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8" fillId="14" borderId="31" xfId="0" applyFont="1" applyFill="1" applyBorder="1" applyAlignment="1">
      <alignment horizontal="center" vertical="center"/>
    </xf>
    <xf numFmtId="0" fontId="8" fillId="14" borderId="30" xfId="0" applyFont="1" applyFill="1" applyBorder="1" applyAlignment="1">
      <alignment horizontal="center" vertical="center"/>
    </xf>
    <xf numFmtId="0" fontId="8" fillId="14" borderId="29" xfId="0" applyFont="1" applyFill="1" applyBorder="1" applyAlignment="1">
      <alignment horizontal="center" vertical="center"/>
    </xf>
    <xf numFmtId="10" fontId="1" fillId="3" borderId="9" xfId="0" applyNumberFormat="1" applyFont="1" applyFill="1" applyBorder="1" applyAlignment="1">
      <alignment horizontal="center" vertical="center"/>
    </xf>
    <xf numFmtId="10" fontId="1" fillId="3" borderId="10" xfId="0" applyNumberFormat="1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10" fontId="1" fillId="3" borderId="11" xfId="0" applyNumberFormat="1" applyFont="1" applyFill="1" applyBorder="1" applyAlignment="1">
      <alignment horizontal="center" vertical="center"/>
    </xf>
    <xf numFmtId="10" fontId="1" fillId="3" borderId="15" xfId="0" applyNumberFormat="1" applyFont="1" applyFill="1" applyBorder="1" applyAlignment="1">
      <alignment horizontal="center" vertical="center"/>
    </xf>
    <xf numFmtId="0" fontId="5" fillId="13" borderId="31" xfId="0" applyFont="1" applyFill="1" applyBorder="1" applyAlignment="1">
      <alignment horizontal="center" vertical="center"/>
    </xf>
    <xf numFmtId="0" fontId="5" fillId="13" borderId="30" xfId="0" applyFont="1" applyFill="1" applyBorder="1" applyAlignment="1">
      <alignment horizontal="center" vertical="center"/>
    </xf>
    <xf numFmtId="0" fontId="9" fillId="13" borderId="17" xfId="0" applyFont="1" applyFill="1" applyBorder="1" applyAlignment="1">
      <alignment horizontal="center" vertical="center"/>
    </xf>
    <xf numFmtId="0" fontId="9" fillId="13" borderId="16" xfId="0" applyFont="1" applyFill="1" applyBorder="1" applyAlignment="1">
      <alignment horizontal="center" vertical="center"/>
    </xf>
    <xf numFmtId="0" fontId="9" fillId="13" borderId="26" xfId="0" applyFont="1" applyFill="1" applyBorder="1" applyAlignment="1">
      <alignment horizontal="center" vertical="center"/>
    </xf>
    <xf numFmtId="0" fontId="5" fillId="13" borderId="29" xfId="0" applyFont="1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24" xfId="0" applyFont="1" applyFill="1" applyBorder="1" applyAlignment="1">
      <alignment horizontal="center" vertical="center"/>
    </xf>
    <xf numFmtId="0" fontId="1" fillId="9" borderId="23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1" fillId="8" borderId="14" xfId="0" applyFont="1" applyFill="1" applyBorder="1" applyAlignment="1">
      <alignment horizontal="center" vertical="center"/>
    </xf>
    <xf numFmtId="0" fontId="1" fillId="8" borderId="13" xfId="0" applyFont="1" applyFill="1" applyBorder="1" applyAlignment="1">
      <alignment horizontal="center" vertical="center"/>
    </xf>
    <xf numFmtId="0" fontId="1" fillId="8" borderId="22" xfId="0" applyFont="1" applyFill="1" applyBorder="1" applyAlignment="1">
      <alignment horizontal="center" vertical="center"/>
    </xf>
    <xf numFmtId="0" fontId="1" fillId="8" borderId="23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10" fontId="1" fillId="3" borderId="31" xfId="0" applyNumberFormat="1" applyFont="1" applyFill="1" applyBorder="1" applyAlignment="1">
      <alignment horizontal="center" vertical="center"/>
    </xf>
    <xf numFmtId="10" fontId="1" fillId="3" borderId="29" xfId="0" applyNumberFormat="1" applyFont="1" applyFill="1" applyBorder="1" applyAlignment="1">
      <alignment horizontal="center" vertical="center"/>
    </xf>
    <xf numFmtId="0" fontId="1" fillId="6" borderId="22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9" borderId="30" xfId="0" applyFont="1" applyFill="1" applyBorder="1" applyAlignment="1">
      <alignment horizontal="center" vertical="center"/>
    </xf>
    <xf numFmtId="0" fontId="1" fillId="9" borderId="29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10" fontId="1" fillId="3" borderId="30" xfId="0" applyNumberFormat="1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6" borderId="3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55690266841644798"/>
          <c:y val="0.8842592592592593"/>
        </c:manualLayout>
      </c:layout>
      <c:overlay val="0"/>
    </c:title>
    <c:autoTitleDeleted val="0"/>
    <c:plotArea>
      <c:layout/>
      <c:pieChart>
        <c:varyColors val="1"/>
        <c:ser>
          <c:idx val="0"/>
          <c:order val="0"/>
          <c:tx>
            <c:v>EXTERNAL CAPACITY</c:v>
          </c:tx>
          <c:explosion val="3"/>
          <c:dLbls>
            <c:dLbl>
              <c:idx val="0"/>
              <c:layout>
                <c:manualLayout>
                  <c:x val="-0.20336832895888013"/>
                  <c:y val="-9.3004520268299792E-2"/>
                </c:manualLayout>
              </c:layout>
              <c:tx>
                <c:rich>
                  <a:bodyPr/>
                  <a:lstStyle/>
                  <a:p>
                    <a:pPr>
                      <a:defRPr sz="1400"/>
                    </a:pPr>
                    <a:r>
                      <a:rPr lang="en-US" sz="1400" b="1"/>
                      <a:t>OCCUPIED</a:t>
                    </a:r>
                    <a:r>
                      <a:rPr lang="en-US" sz="1400" b="1" baseline="0"/>
                      <a:t> </a:t>
                    </a:r>
                    <a:r>
                      <a:rPr lang="en-US" sz="1400" b="1"/>
                      <a:t>61.30%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D1B1-4F69-9BEB-CE512C854476}"/>
                </c:ext>
              </c:extLst>
            </c:dLbl>
            <c:dLbl>
              <c:idx val="2"/>
              <c:layout>
                <c:manualLayout>
                  <c:x val="0.18981736657917761"/>
                  <c:y val="7.4565835520559925E-2"/>
                </c:manualLayout>
              </c:layout>
              <c:tx>
                <c:rich>
                  <a:bodyPr/>
                  <a:lstStyle/>
                  <a:p>
                    <a:r>
                      <a:rPr lang="en-US" sz="1400" b="1"/>
                      <a:t>FREE slots 38.70%</a:t>
                    </a:r>
                  </a:p>
                </c:rich>
              </c:tx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D1B1-4F69-9BEB-CE512C85447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'ساحات خارجية'!$K$22:$K$25</c:f>
              <c:numCache>
                <c:formatCode>0.00%</c:formatCode>
                <c:ptCount val="4"/>
                <c:pt idx="0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B1-4F69-9BEB-CE512C854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11206</xdr:colOff>
      <xdr:row>25</xdr:row>
      <xdr:rowOff>286872</xdr:rowOff>
    </xdr:from>
    <xdr:to>
      <xdr:col>9</xdr:col>
      <xdr:colOff>818029</xdr:colOff>
      <xdr:row>35</xdr:row>
      <xdr:rowOff>82925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7"/>
  <sheetViews>
    <sheetView tabSelected="1" view="pageBreakPreview" topLeftCell="A13" zoomScale="85" zoomScaleNormal="100" zoomScaleSheetLayoutView="85" workbookViewId="0">
      <selection activeCell="I19" sqref="I19"/>
    </sheetView>
  </sheetViews>
  <sheetFormatPr defaultColWidth="9.08203125" defaultRowHeight="14" x14ac:dyDescent="0.3"/>
  <cols>
    <col min="1" max="1" width="19.4140625" style="2" customWidth="1"/>
    <col min="2" max="2" width="21.6640625" style="2" customWidth="1"/>
    <col min="3" max="3" width="13.9140625" style="2" customWidth="1"/>
    <col min="4" max="4" width="12.9140625" style="2" customWidth="1"/>
    <col min="5" max="5" width="11.6640625" style="2" customWidth="1"/>
    <col min="6" max="6" width="12.58203125" style="2" customWidth="1"/>
    <col min="7" max="9" width="14.58203125" style="2" customWidth="1"/>
    <col min="10" max="10" width="16.08203125" style="2" bestFit="1" customWidth="1"/>
    <col min="11" max="11" width="17.33203125" style="2" bestFit="1" customWidth="1"/>
    <col min="12" max="16384" width="9.08203125" style="2"/>
  </cols>
  <sheetData>
    <row r="1" spans="1:12" ht="33.75" customHeight="1" x14ac:dyDescent="0.3">
      <c r="A1" s="141" t="s">
        <v>30</v>
      </c>
      <c r="B1" s="142"/>
      <c r="C1" s="142"/>
      <c r="D1" s="142"/>
      <c r="E1" s="142"/>
      <c r="F1" s="142"/>
      <c r="G1" s="142"/>
      <c r="H1" s="142"/>
      <c r="I1" s="142"/>
      <c r="J1" s="142"/>
      <c r="K1" s="143"/>
      <c r="L1" s="119"/>
    </row>
    <row r="2" spans="1:12" ht="48" customHeight="1" thickBot="1" x14ac:dyDescent="0.35">
      <c r="A2" s="144"/>
      <c r="B2" s="145"/>
      <c r="C2" s="145"/>
      <c r="D2" s="145"/>
      <c r="E2" s="145"/>
      <c r="F2" s="145"/>
      <c r="G2" s="145"/>
      <c r="H2" s="145"/>
      <c r="I2" s="145"/>
      <c r="J2" s="145"/>
      <c r="K2" s="146"/>
      <c r="L2" s="120"/>
    </row>
    <row r="3" spans="1:12" ht="14.5" thickBot="1" x14ac:dyDescent="0.35">
      <c r="A3" s="93"/>
      <c r="B3" s="94"/>
      <c r="C3" s="94"/>
      <c r="D3" s="94"/>
      <c r="E3" s="94"/>
      <c r="F3" s="94"/>
      <c r="G3" s="94"/>
      <c r="H3" s="94"/>
      <c r="I3" s="94"/>
      <c r="J3" s="94"/>
      <c r="K3" s="44"/>
      <c r="L3" s="120"/>
    </row>
    <row r="4" spans="1:12" ht="25" x14ac:dyDescent="0.3">
      <c r="A4" s="103" t="s">
        <v>0</v>
      </c>
      <c r="B4" s="105" t="s">
        <v>1</v>
      </c>
      <c r="C4" s="46">
        <v>20</v>
      </c>
      <c r="D4" s="3">
        <v>40</v>
      </c>
      <c r="E4" s="46">
        <v>20</v>
      </c>
      <c r="F4" s="3">
        <v>40</v>
      </c>
      <c r="G4" s="103" t="s">
        <v>2</v>
      </c>
      <c r="H4" s="32" t="s">
        <v>24</v>
      </c>
      <c r="I4" s="4" t="s">
        <v>1</v>
      </c>
      <c r="J4" s="5" t="s">
        <v>16</v>
      </c>
      <c r="K4" s="46" t="s">
        <v>17</v>
      </c>
      <c r="L4" s="120"/>
    </row>
    <row r="5" spans="1:12" ht="25.5" thickBot="1" x14ac:dyDescent="0.35">
      <c r="A5" s="104"/>
      <c r="B5" s="106"/>
      <c r="C5" s="47" t="s">
        <v>3</v>
      </c>
      <c r="D5" s="6" t="s">
        <v>3</v>
      </c>
      <c r="E5" s="47" t="s">
        <v>4</v>
      </c>
      <c r="F5" s="6" t="s">
        <v>4</v>
      </c>
      <c r="G5" s="104"/>
      <c r="H5" s="33" t="s">
        <v>25</v>
      </c>
      <c r="I5" s="7" t="s">
        <v>5</v>
      </c>
      <c r="J5" s="8" t="s">
        <v>6</v>
      </c>
      <c r="K5" s="9" t="s">
        <v>6</v>
      </c>
      <c r="L5" s="120"/>
    </row>
    <row r="6" spans="1:12" ht="25" x14ac:dyDescent="0.3">
      <c r="A6" s="10" t="s">
        <v>7</v>
      </c>
      <c r="B6" s="107" t="s">
        <v>9</v>
      </c>
      <c r="C6" s="48"/>
      <c r="D6" s="50"/>
      <c r="E6" s="48"/>
      <c r="F6" s="50"/>
      <c r="G6" s="10">
        <f>C6+D6*2+E6+F6*2</f>
        <v>0</v>
      </c>
      <c r="H6" s="107">
        <f>G6+G7</f>
        <v>0</v>
      </c>
      <c r="I6" s="109">
        <v>1750</v>
      </c>
      <c r="J6" s="101">
        <f>G6:G7/I6</f>
        <v>0</v>
      </c>
      <c r="K6" s="137">
        <f t="shared" ref="K6:K17" si="0">100%-J6</f>
        <v>1</v>
      </c>
      <c r="L6" s="120"/>
    </row>
    <row r="7" spans="1:12" ht="25.5" thickBot="1" x14ac:dyDescent="0.35">
      <c r="A7" s="11" t="s">
        <v>8</v>
      </c>
      <c r="B7" s="108"/>
      <c r="C7" s="49"/>
      <c r="D7" s="51"/>
      <c r="E7" s="49"/>
      <c r="F7" s="51"/>
      <c r="G7" s="11">
        <f>C7+D7*2+E7+F7*2</f>
        <v>0</v>
      </c>
      <c r="H7" s="155"/>
      <c r="I7" s="110"/>
      <c r="J7" s="102"/>
      <c r="K7" s="138">
        <f t="shared" si="0"/>
        <v>1</v>
      </c>
      <c r="L7" s="120"/>
    </row>
    <row r="8" spans="1:12" ht="25" x14ac:dyDescent="0.3">
      <c r="A8" s="12" t="s">
        <v>7</v>
      </c>
      <c r="B8" s="133" t="s">
        <v>10</v>
      </c>
      <c r="C8" s="65"/>
      <c r="D8" s="67"/>
      <c r="E8" s="65"/>
      <c r="F8" s="67"/>
      <c r="G8" s="12">
        <f t="shared" ref="G8:G17" si="1">C8+D8*2+E8+F8*2</f>
        <v>0</v>
      </c>
      <c r="H8" s="156">
        <f>G8+G9</f>
        <v>0</v>
      </c>
      <c r="I8" s="135">
        <v>1600</v>
      </c>
      <c r="J8" s="111">
        <f t="shared" ref="J8" si="2">G8:G9/I8</f>
        <v>0</v>
      </c>
      <c r="K8" s="154">
        <f t="shared" si="0"/>
        <v>1</v>
      </c>
      <c r="L8" s="120"/>
    </row>
    <row r="9" spans="1:12" ht="25.5" thickBot="1" x14ac:dyDescent="0.35">
      <c r="A9" s="13" t="s">
        <v>8</v>
      </c>
      <c r="B9" s="134"/>
      <c r="C9" s="66"/>
      <c r="D9" s="68"/>
      <c r="E9" s="66"/>
      <c r="F9" s="68"/>
      <c r="G9" s="13">
        <f t="shared" si="1"/>
        <v>0</v>
      </c>
      <c r="H9" s="157"/>
      <c r="I9" s="136"/>
      <c r="J9" s="112"/>
      <c r="K9" s="154">
        <f t="shared" si="0"/>
        <v>1</v>
      </c>
      <c r="L9" s="120"/>
    </row>
    <row r="10" spans="1:12" ht="25" x14ac:dyDescent="0.3">
      <c r="A10" s="14" t="s">
        <v>7</v>
      </c>
      <c r="B10" s="152" t="s">
        <v>11</v>
      </c>
      <c r="C10" s="71"/>
      <c r="D10" s="69"/>
      <c r="E10" s="71"/>
      <c r="F10" s="69"/>
      <c r="G10" s="14">
        <f t="shared" si="1"/>
        <v>0</v>
      </c>
      <c r="H10" s="158">
        <f>G10+G11</f>
        <v>0</v>
      </c>
      <c r="I10" s="139">
        <v>550</v>
      </c>
      <c r="J10" s="101">
        <f t="shared" ref="J10" si="3">G10:G11/I10</f>
        <v>0</v>
      </c>
      <c r="K10" s="137">
        <f t="shared" si="0"/>
        <v>1</v>
      </c>
      <c r="L10" s="120"/>
    </row>
    <row r="11" spans="1:12" ht="25.5" thickBot="1" x14ac:dyDescent="0.35">
      <c r="A11" s="15" t="s">
        <v>8</v>
      </c>
      <c r="B11" s="153"/>
      <c r="C11" s="72"/>
      <c r="D11" s="70"/>
      <c r="E11" s="72"/>
      <c r="F11" s="70"/>
      <c r="G11" s="15">
        <f t="shared" si="1"/>
        <v>0</v>
      </c>
      <c r="H11" s="158"/>
      <c r="I11" s="140"/>
      <c r="J11" s="102"/>
      <c r="K11" s="138">
        <f t="shared" si="0"/>
        <v>1</v>
      </c>
      <c r="L11" s="120"/>
    </row>
    <row r="12" spans="1:12" ht="25" x14ac:dyDescent="0.3">
      <c r="A12" s="16" t="s">
        <v>7</v>
      </c>
      <c r="B12" s="125" t="s">
        <v>12</v>
      </c>
      <c r="C12" s="57"/>
      <c r="D12" s="59"/>
      <c r="E12" s="57"/>
      <c r="F12" s="59"/>
      <c r="G12" s="16">
        <f t="shared" si="1"/>
        <v>0</v>
      </c>
      <c r="H12" s="125">
        <f>G12+G13</f>
        <v>0</v>
      </c>
      <c r="I12" s="127">
        <f>500</f>
        <v>500</v>
      </c>
      <c r="J12" s="101">
        <f t="shared" ref="J12" si="4">G12:G13/I12</f>
        <v>0</v>
      </c>
      <c r="K12" s="137">
        <f t="shared" si="0"/>
        <v>1</v>
      </c>
      <c r="L12" s="120"/>
    </row>
    <row r="13" spans="1:12" ht="25.5" thickBot="1" x14ac:dyDescent="0.35">
      <c r="A13" s="17" t="s">
        <v>8</v>
      </c>
      <c r="B13" s="126"/>
      <c r="C13" s="58"/>
      <c r="D13" s="60"/>
      <c r="E13" s="58"/>
      <c r="F13" s="60"/>
      <c r="G13" s="17">
        <f t="shared" si="1"/>
        <v>0</v>
      </c>
      <c r="H13" s="126"/>
      <c r="I13" s="128"/>
      <c r="J13" s="102"/>
      <c r="K13" s="138">
        <f t="shared" si="0"/>
        <v>1</v>
      </c>
      <c r="L13" s="120"/>
    </row>
    <row r="14" spans="1:12" ht="25" x14ac:dyDescent="0.3">
      <c r="A14" s="18" t="s">
        <v>7</v>
      </c>
      <c r="B14" s="129" t="s">
        <v>13</v>
      </c>
      <c r="C14" s="61"/>
      <c r="D14" s="63"/>
      <c r="E14" s="61"/>
      <c r="F14" s="63"/>
      <c r="G14" s="18">
        <f t="shared" si="1"/>
        <v>0</v>
      </c>
      <c r="H14" s="129">
        <f>G14+G15</f>
        <v>0</v>
      </c>
      <c r="I14" s="131">
        <v>981</v>
      </c>
      <c r="J14" s="101">
        <f>G14:G15/I14</f>
        <v>0</v>
      </c>
      <c r="K14" s="154">
        <f t="shared" si="0"/>
        <v>1</v>
      </c>
      <c r="L14" s="120"/>
    </row>
    <row r="15" spans="1:12" ht="25.5" thickBot="1" x14ac:dyDescent="0.35">
      <c r="A15" s="19" t="s">
        <v>8</v>
      </c>
      <c r="B15" s="130"/>
      <c r="C15" s="62"/>
      <c r="D15" s="64"/>
      <c r="E15" s="62"/>
      <c r="F15" s="64"/>
      <c r="G15" s="19">
        <f t="shared" si="1"/>
        <v>0</v>
      </c>
      <c r="H15" s="130"/>
      <c r="I15" s="132"/>
      <c r="J15" s="102"/>
      <c r="K15" s="154">
        <f t="shared" si="0"/>
        <v>1</v>
      </c>
      <c r="L15" s="120"/>
    </row>
    <row r="16" spans="1:12" ht="25" x14ac:dyDescent="0.3">
      <c r="A16" s="20" t="s">
        <v>7</v>
      </c>
      <c r="B16" s="121" t="s">
        <v>14</v>
      </c>
      <c r="C16" s="53"/>
      <c r="D16" s="55"/>
      <c r="E16" s="53"/>
      <c r="F16" s="55"/>
      <c r="G16" s="20">
        <f t="shared" si="1"/>
        <v>0</v>
      </c>
      <c r="H16" s="147">
        <f>G16+G17</f>
        <v>0</v>
      </c>
      <c r="I16" s="123">
        <v>2500</v>
      </c>
      <c r="J16" s="111">
        <f t="shared" ref="J16" si="5">G16:G17/I16</f>
        <v>0</v>
      </c>
      <c r="K16" s="137">
        <f t="shared" si="0"/>
        <v>1</v>
      </c>
      <c r="L16" s="120"/>
    </row>
    <row r="17" spans="1:12" ht="25.5" thickBot="1" x14ac:dyDescent="0.35">
      <c r="A17" s="21" t="s">
        <v>8</v>
      </c>
      <c r="B17" s="122"/>
      <c r="C17" s="54"/>
      <c r="D17" s="56"/>
      <c r="E17" s="54"/>
      <c r="F17" s="56"/>
      <c r="G17" s="21">
        <f t="shared" si="1"/>
        <v>0</v>
      </c>
      <c r="H17" s="148"/>
      <c r="I17" s="124"/>
      <c r="J17" s="102"/>
      <c r="K17" s="138">
        <f t="shared" si="0"/>
        <v>1</v>
      </c>
      <c r="L17" s="120"/>
    </row>
    <row r="18" spans="1:12" ht="25.5" thickBot="1" x14ac:dyDescent="0.35">
      <c r="A18" s="149" t="s">
        <v>22</v>
      </c>
      <c r="B18" s="150"/>
      <c r="C18" s="150"/>
      <c r="D18" s="150"/>
      <c r="E18" s="150"/>
      <c r="F18" s="150"/>
      <c r="G18" s="151"/>
      <c r="H18" s="42">
        <f>F28</f>
        <v>0</v>
      </c>
      <c r="I18" s="22"/>
      <c r="J18" s="1" t="e">
        <f>E28/G19</f>
        <v>#DIV/0!</v>
      </c>
      <c r="K18" s="45"/>
      <c r="L18" s="120"/>
    </row>
    <row r="19" spans="1:12" s="24" customFormat="1" ht="45.5" thickBot="1" x14ac:dyDescent="0.35">
      <c r="A19" s="95" t="s">
        <v>15</v>
      </c>
      <c r="B19" s="96"/>
      <c r="C19" s="96"/>
      <c r="D19" s="96"/>
      <c r="E19" s="96"/>
      <c r="F19" s="97"/>
      <c r="G19" s="23">
        <f>G6+G7+G8+G9+G10+G11+G12+G13+G14+G15+G16+G17</f>
        <v>0</v>
      </c>
      <c r="H19" s="23">
        <f>SUM(H6:H18)</f>
        <v>0</v>
      </c>
      <c r="I19" s="23">
        <f>SUM(I6:I18)</f>
        <v>7881</v>
      </c>
      <c r="J19" s="30">
        <f>H19/I19</f>
        <v>0</v>
      </c>
      <c r="K19" s="31">
        <f>100%-J19</f>
        <v>1</v>
      </c>
      <c r="L19" s="120"/>
    </row>
    <row r="20" spans="1:12" ht="14.5" thickBot="1" x14ac:dyDescent="0.35">
      <c r="A20" s="43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52"/>
    </row>
    <row r="21" spans="1:12" ht="28" thickBot="1" x14ac:dyDescent="0.35">
      <c r="A21" s="115" t="s">
        <v>23</v>
      </c>
      <c r="B21" s="116"/>
      <c r="C21" s="116"/>
      <c r="D21" s="116"/>
      <c r="E21" s="116"/>
      <c r="F21" s="117"/>
      <c r="G21" s="44"/>
      <c r="H21" s="44"/>
      <c r="I21" s="44"/>
      <c r="J21" s="44"/>
      <c r="K21" s="44"/>
      <c r="L21" s="52"/>
    </row>
    <row r="22" spans="1:12" s="28" customFormat="1" ht="23.25" customHeight="1" x14ac:dyDescent="0.3">
      <c r="A22" s="113" t="s">
        <v>1</v>
      </c>
      <c r="B22" s="36">
        <v>20</v>
      </c>
      <c r="C22" s="25">
        <v>40</v>
      </c>
      <c r="D22" s="36">
        <v>20</v>
      </c>
      <c r="E22" s="25">
        <v>40</v>
      </c>
      <c r="F22" s="113" t="s">
        <v>21</v>
      </c>
      <c r="G22" s="75"/>
      <c r="H22" s="81" t="s">
        <v>27</v>
      </c>
      <c r="I22" s="82"/>
      <c r="J22" s="98">
        <f>G19</f>
        <v>0</v>
      </c>
      <c r="K22" s="79">
        <f>J22/8783</f>
        <v>0</v>
      </c>
      <c r="L22" s="27"/>
    </row>
    <row r="23" spans="1:12" s="28" customFormat="1" ht="24" customHeight="1" thickBot="1" x14ac:dyDescent="0.35">
      <c r="A23" s="118"/>
      <c r="B23" s="35" t="s">
        <v>3</v>
      </c>
      <c r="C23" s="34" t="s">
        <v>3</v>
      </c>
      <c r="D23" s="35" t="s">
        <v>4</v>
      </c>
      <c r="E23" s="34" t="s">
        <v>4</v>
      </c>
      <c r="F23" s="114"/>
      <c r="G23" s="75"/>
      <c r="H23" s="83"/>
      <c r="I23" s="84"/>
      <c r="J23" s="99"/>
      <c r="K23" s="80"/>
      <c r="L23" s="27"/>
    </row>
    <row r="24" spans="1:12" s="28" customFormat="1" ht="24" customHeight="1" thickBot="1" x14ac:dyDescent="0.35">
      <c r="A24" s="37" t="s">
        <v>18</v>
      </c>
      <c r="B24" s="41"/>
      <c r="C24" s="37"/>
      <c r="D24" s="41"/>
      <c r="E24" s="37"/>
      <c r="F24" s="37">
        <f>B24+C24*2+D24+E24*2</f>
        <v>0</v>
      </c>
      <c r="G24" s="75"/>
      <c r="H24" s="85" t="s">
        <v>29</v>
      </c>
      <c r="I24" s="86"/>
      <c r="J24" s="98">
        <f>J26-J22</f>
        <v>8783</v>
      </c>
      <c r="K24" s="79">
        <f>J24/8783</f>
        <v>1</v>
      </c>
      <c r="L24" s="27"/>
    </row>
    <row r="25" spans="1:12" s="28" customFormat="1" ht="24" customHeight="1" thickBot="1" x14ac:dyDescent="0.35">
      <c r="A25" s="38" t="s">
        <v>26</v>
      </c>
      <c r="B25" s="38"/>
      <c r="C25" s="39"/>
      <c r="D25" s="38"/>
      <c r="E25" s="39"/>
      <c r="F25" s="37">
        <f>G21+C25*2+D25+E25*2</f>
        <v>0</v>
      </c>
      <c r="G25" s="75"/>
      <c r="H25" s="87"/>
      <c r="I25" s="88"/>
      <c r="J25" s="100"/>
      <c r="K25" s="80"/>
      <c r="L25" s="27"/>
    </row>
    <row r="26" spans="1:12" s="28" customFormat="1" ht="24" customHeight="1" thickBot="1" x14ac:dyDescent="0.35">
      <c r="A26" s="39" t="s">
        <v>19</v>
      </c>
      <c r="B26" s="29"/>
      <c r="C26" s="40"/>
      <c r="D26" s="29"/>
      <c r="E26" s="40"/>
      <c r="F26" s="37">
        <f t="shared" ref="F26:F27" si="6">B26+C26*2+D26+E26*2</f>
        <v>0</v>
      </c>
      <c r="G26" s="75"/>
      <c r="H26" s="89" t="s">
        <v>28</v>
      </c>
      <c r="I26" s="90"/>
      <c r="J26" s="99">
        <f>8783</f>
        <v>8783</v>
      </c>
      <c r="K26" s="79">
        <f>100%</f>
        <v>1</v>
      </c>
      <c r="L26" s="27"/>
    </row>
    <row r="27" spans="1:12" s="28" customFormat="1" ht="24" customHeight="1" thickBot="1" x14ac:dyDescent="0.35">
      <c r="A27" s="39" t="s">
        <v>20</v>
      </c>
      <c r="B27" s="38"/>
      <c r="C27" s="39"/>
      <c r="D27" s="38"/>
      <c r="E27" s="39"/>
      <c r="F27" s="37">
        <f t="shared" si="6"/>
        <v>0</v>
      </c>
      <c r="G27" s="75"/>
      <c r="H27" s="91"/>
      <c r="I27" s="92"/>
      <c r="J27" s="100"/>
      <c r="K27" s="80"/>
      <c r="L27" s="27"/>
    </row>
    <row r="28" spans="1:12" s="28" customFormat="1" ht="23.5" thickBot="1" x14ac:dyDescent="0.35">
      <c r="A28" s="76"/>
      <c r="B28" s="73">
        <f>SUM(B24:B27)</f>
        <v>0</v>
      </c>
      <c r="C28" s="22">
        <f>SUM(C24:C27)</f>
        <v>0</v>
      </c>
      <c r="D28" s="73">
        <f>SUM(D24:D27)</f>
        <v>0</v>
      </c>
      <c r="E28" s="22">
        <f>SUM(E24:E27)</f>
        <v>0</v>
      </c>
      <c r="F28" s="74">
        <f>SUM(F24:F27)</f>
        <v>0</v>
      </c>
      <c r="G28" s="26"/>
      <c r="H28" s="26"/>
      <c r="I28" s="26"/>
      <c r="J28" s="26"/>
      <c r="K28" s="26"/>
      <c r="L28" s="27"/>
    </row>
    <row r="29" spans="1:12" s="28" customFormat="1" ht="23" x14ac:dyDescent="0.3">
      <c r="A29" s="78"/>
      <c r="B29" s="77"/>
      <c r="C29" s="77"/>
      <c r="D29" s="77"/>
      <c r="E29" s="77"/>
      <c r="F29" s="26"/>
      <c r="G29" s="26"/>
      <c r="H29" s="26"/>
      <c r="I29" s="26"/>
      <c r="J29" s="26"/>
      <c r="K29" s="26"/>
      <c r="L29" s="27"/>
    </row>
    <row r="30" spans="1:12" s="28" customFormat="1" ht="23" x14ac:dyDescent="0.3">
      <c r="A30" s="77"/>
      <c r="B30" s="77"/>
      <c r="C30" s="77"/>
      <c r="D30" s="77"/>
      <c r="E30" s="77"/>
      <c r="F30" s="26"/>
      <c r="G30" s="26"/>
      <c r="H30" s="26"/>
      <c r="I30" s="26"/>
      <c r="J30" s="26"/>
      <c r="K30" s="26"/>
      <c r="L30" s="26"/>
    </row>
    <row r="31" spans="1:12" s="28" customFormat="1" ht="23" x14ac:dyDescent="0.3">
      <c r="A31" s="77"/>
      <c r="B31" s="77"/>
      <c r="C31" s="77"/>
      <c r="D31" s="77"/>
      <c r="E31" s="77"/>
      <c r="F31" s="26"/>
      <c r="G31" s="26"/>
      <c r="H31" s="26"/>
      <c r="I31" s="26"/>
      <c r="J31" s="26"/>
      <c r="K31" s="26"/>
      <c r="L31" s="26"/>
    </row>
    <row r="32" spans="1:12" s="28" customFormat="1" ht="23" x14ac:dyDescent="0.3">
      <c r="A32" s="77"/>
      <c r="B32" s="77"/>
      <c r="C32" s="77"/>
      <c r="D32" s="77"/>
      <c r="E32" s="77"/>
      <c r="F32" s="26"/>
      <c r="G32" s="26"/>
      <c r="H32" s="26"/>
      <c r="I32" s="26"/>
      <c r="J32" s="26"/>
      <c r="K32" s="26"/>
      <c r="L32" s="26"/>
    </row>
    <row r="33" spans="1:12" s="28" customFormat="1" ht="23" x14ac:dyDescent="0.3">
      <c r="A33" s="77"/>
      <c r="B33" s="77"/>
      <c r="C33" s="77"/>
      <c r="D33" s="77"/>
      <c r="E33" s="77"/>
      <c r="F33" s="26"/>
      <c r="G33" s="26"/>
      <c r="H33" s="26"/>
      <c r="I33" s="26"/>
      <c r="J33" s="26"/>
      <c r="K33" s="26"/>
      <c r="L33" s="26"/>
    </row>
    <row r="34" spans="1:12" s="28" customFormat="1" ht="23" x14ac:dyDescent="0.3">
      <c r="A34" s="77"/>
      <c r="B34" s="77"/>
      <c r="C34" s="77"/>
      <c r="D34" s="77"/>
      <c r="E34" s="77"/>
      <c r="F34" s="26"/>
      <c r="G34" s="26"/>
      <c r="H34" s="26"/>
      <c r="I34" s="26"/>
      <c r="J34" s="26"/>
      <c r="K34" s="26"/>
      <c r="L34" s="26"/>
    </row>
    <row r="35" spans="1:12" s="28" customFormat="1" ht="23" x14ac:dyDescent="0.3">
      <c r="A35" s="77"/>
      <c r="B35" s="77"/>
      <c r="C35" s="77"/>
      <c r="D35" s="77"/>
      <c r="E35" s="77"/>
      <c r="F35" s="26"/>
      <c r="G35" s="26"/>
      <c r="H35" s="26"/>
      <c r="I35" s="26"/>
      <c r="J35" s="26"/>
      <c r="K35" s="26"/>
      <c r="L35" s="26"/>
    </row>
    <row r="36" spans="1:12" s="28" customFormat="1" ht="23" x14ac:dyDescent="0.3">
      <c r="A36" s="77"/>
      <c r="B36" s="77"/>
      <c r="C36" s="77"/>
      <c r="D36" s="77"/>
      <c r="E36" s="77"/>
      <c r="F36" s="26"/>
      <c r="G36" s="26"/>
      <c r="H36" s="26"/>
      <c r="I36" s="26"/>
      <c r="J36" s="26"/>
      <c r="K36" s="26"/>
      <c r="L36" s="26"/>
    </row>
    <row r="37" spans="1:12" s="28" customFormat="1" ht="23" x14ac:dyDescent="0.3">
      <c r="A37" s="77"/>
      <c r="B37" s="77"/>
      <c r="C37" s="77"/>
      <c r="D37" s="77"/>
      <c r="E37" s="77"/>
      <c r="F37" s="26"/>
      <c r="G37" s="26"/>
      <c r="H37" s="26"/>
      <c r="I37" s="26"/>
      <c r="J37" s="26"/>
      <c r="K37" s="26"/>
      <c r="L37" s="26"/>
    </row>
  </sheetData>
  <mergeCells count="50">
    <mergeCell ref="H16:H17"/>
    <mergeCell ref="A18:G18"/>
    <mergeCell ref="B10:B11"/>
    <mergeCell ref="K14:K15"/>
    <mergeCell ref="K6:K7"/>
    <mergeCell ref="K8:K9"/>
    <mergeCell ref="K10:K11"/>
    <mergeCell ref="H6:H7"/>
    <mergeCell ref="H8:H9"/>
    <mergeCell ref="H14:H15"/>
    <mergeCell ref="H10:H11"/>
    <mergeCell ref="H12:H13"/>
    <mergeCell ref="L1:L19"/>
    <mergeCell ref="B16:B17"/>
    <mergeCell ref="I16:I17"/>
    <mergeCell ref="J16:J17"/>
    <mergeCell ref="B12:B13"/>
    <mergeCell ref="I12:I13"/>
    <mergeCell ref="J12:J13"/>
    <mergeCell ref="B14:B15"/>
    <mergeCell ref="I14:I15"/>
    <mergeCell ref="J14:J15"/>
    <mergeCell ref="B8:B9"/>
    <mergeCell ref="I8:I9"/>
    <mergeCell ref="K12:K13"/>
    <mergeCell ref="I10:I11"/>
    <mergeCell ref="A1:K2"/>
    <mergeCell ref="K16:K17"/>
    <mergeCell ref="A3:J3"/>
    <mergeCell ref="A19:F19"/>
    <mergeCell ref="J22:J23"/>
    <mergeCell ref="J24:J25"/>
    <mergeCell ref="J26:J27"/>
    <mergeCell ref="J10:J11"/>
    <mergeCell ref="A4:A5"/>
    <mergeCell ref="B4:B5"/>
    <mergeCell ref="G4:G5"/>
    <mergeCell ref="B6:B7"/>
    <mergeCell ref="I6:I7"/>
    <mergeCell ref="J6:J7"/>
    <mergeCell ref="J8:J9"/>
    <mergeCell ref="F22:F23"/>
    <mergeCell ref="A21:F21"/>
    <mergeCell ref="A22:A23"/>
    <mergeCell ref="K22:K23"/>
    <mergeCell ref="K24:K25"/>
    <mergeCell ref="K26:K27"/>
    <mergeCell ref="H22:I23"/>
    <mergeCell ref="H24:I25"/>
    <mergeCell ref="H26:I27"/>
  </mergeCells>
  <dataValidations count="21">
    <dataValidation type="whole" operator="equal" allowBlank="1" showInputMessage="1" showErrorMessage="1" sqref="G6:G17 F24:F27" xr:uid="{00000000-0002-0000-0000-000000000000}">
      <formula1>B6+C6*2+D6+E6*2</formula1>
    </dataValidation>
    <dataValidation type="whole" operator="equal" allowBlank="1" showInputMessage="1" showErrorMessage="1" sqref="I6:I7" xr:uid="{00000000-0002-0000-0000-000001000000}">
      <formula1>1750</formula1>
    </dataValidation>
    <dataValidation type="whole" operator="equal" allowBlank="1" showInputMessage="1" showErrorMessage="1" sqref="I8:I9" xr:uid="{00000000-0002-0000-0000-000002000000}">
      <formula1>1600</formula1>
    </dataValidation>
    <dataValidation type="whole" operator="equal" allowBlank="1" showInputMessage="1" showErrorMessage="1" sqref="I10:I11" xr:uid="{00000000-0002-0000-0000-000003000000}">
      <formula1>550</formula1>
    </dataValidation>
    <dataValidation type="whole" operator="equal" allowBlank="1" showInputMessage="1" showErrorMessage="1" sqref="I14:I15" xr:uid="{00000000-0002-0000-0000-000004000000}">
      <formula1>981</formula1>
    </dataValidation>
    <dataValidation type="whole" operator="equal" allowBlank="1" showInputMessage="1" showErrorMessage="1" sqref="I16:I17" xr:uid="{00000000-0002-0000-0000-000005000000}">
      <formula1>2500</formula1>
    </dataValidation>
    <dataValidation type="custom" allowBlank="1" showInputMessage="1" showErrorMessage="1" sqref="K6 K8 K10 K12 K14 K16:K17" xr:uid="{00000000-0002-0000-0000-000006000000}">
      <formula1>I6:I7/J6</formula1>
    </dataValidation>
    <dataValidation type="whole" operator="equal" allowBlank="1" showInputMessage="1" showErrorMessage="1" sqref="I19 J26:J27" xr:uid="{00000000-0002-0000-0000-000007000000}">
      <formula1>8783</formula1>
    </dataValidation>
    <dataValidation type="whole" operator="equal" allowBlank="1" showInputMessage="1" showErrorMessage="1" sqref="H18" xr:uid="{00000000-0002-0000-0000-000008000000}">
      <formula1>F28</formula1>
    </dataValidation>
    <dataValidation type="whole" operator="equal" allowBlank="1" showInputMessage="1" showErrorMessage="1" sqref="F28 E29:E33" xr:uid="{00000000-0002-0000-0000-000009000000}">
      <formula1>E24+E26+E27+#REF!</formula1>
    </dataValidation>
    <dataValidation type="custom" allowBlank="1" showInputMessage="1" showErrorMessage="1" sqref="J6:J18" xr:uid="{00000000-0002-0000-0000-00000A000000}">
      <formula1>G6:G7/I6</formula1>
    </dataValidation>
    <dataValidation type="whole" operator="equal" allowBlank="1" showInputMessage="1" showErrorMessage="1" sqref="I12:I13" xr:uid="{00000000-0002-0000-0000-00000B000000}">
      <formula1>500</formula1>
    </dataValidation>
    <dataValidation type="whole" operator="equal" allowBlank="1" showInputMessage="1" showErrorMessage="1" sqref="H6:H17" xr:uid="{00000000-0002-0000-0000-00000C000000}">
      <formula1>G6+G7</formula1>
    </dataValidation>
    <dataValidation type="whole" operator="equal" allowBlank="1" showInputMessage="1" showErrorMessage="1" sqref="J22:J23" xr:uid="{00000000-0002-0000-0000-00000D000000}">
      <formula1>G6+G7+G8+G9+G10+G11+G12+G13+G14+G15+G16+G17</formula1>
    </dataValidation>
    <dataValidation type="whole" operator="equal" allowBlank="1" showInputMessage="1" showErrorMessage="1" sqref="J24:J25" xr:uid="{00000000-0002-0000-0000-00000E000000}">
      <formula1>8783-G19</formula1>
    </dataValidation>
    <dataValidation type="whole" operator="equal" allowBlank="1" showInputMessage="1" showErrorMessage="1" sqref="K22:K23" xr:uid="{00000000-0002-0000-0000-00000F000000}">
      <formula1>G19/I19</formula1>
    </dataValidation>
    <dataValidation type="whole" operator="equal" allowBlank="1" showInputMessage="1" showErrorMessage="1" sqref="E37" xr:uid="{00000000-0002-0000-0000-000010000000}">
      <formula1>E26+E28+E29+#REF!</formula1>
    </dataValidation>
    <dataValidation type="whole" operator="equal" allowBlank="1" showInputMessage="1" showErrorMessage="1" sqref="E36" xr:uid="{00000000-0002-0000-0000-000011000000}">
      <formula1>E26+E28+E29+#REF!</formula1>
    </dataValidation>
    <dataValidation type="whole" operator="equal" allowBlank="1" showInputMessage="1" showErrorMessage="1" sqref="E34" xr:uid="{00000000-0002-0000-0000-000012000000}">
      <formula1>E26+E28+E29+#REF!</formula1>
    </dataValidation>
    <dataValidation type="whole" operator="equal" allowBlank="1" showInputMessage="1" showErrorMessage="1" sqref="E35" xr:uid="{00000000-0002-0000-0000-000013000000}">
      <formula1>E27+E29+E34+#REF!</formula1>
    </dataValidation>
    <dataValidation type="whole" operator="equal" allowBlank="1" showInputMessage="1" showErrorMessage="1" sqref="D28 E28 C28 B28" xr:uid="{00000000-0002-0000-0000-000014000000}">
      <formula1>B24+B25+B26+B27</formula1>
    </dataValidation>
  </dataValidations>
  <pageMargins left="0.7" right="0.7" top="0.75" bottom="0.75" header="0.3" footer="0.3"/>
  <pageSetup scale="5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00711-8D92-4D14-8179-9B72D18D1E14}">
  <sheetPr codeName="Sheet2"/>
  <dimension ref="A1"/>
  <sheetViews>
    <sheetView workbookViewId="0"/>
  </sheetViews>
  <sheetFormatPr defaultRowHeight="1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ساحات خارجية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2025-11-30T22:41:12Z</dcterms:modified>
</cp:coreProperties>
</file>